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emmachaffee/Desktop/QUACKED/assets/"/>
    </mc:Choice>
  </mc:AlternateContent>
  <xr:revisionPtr revIDLastSave="0" documentId="8_{4BE4AA71-6484-B84B-8D68-607C6263E522}" xr6:coauthVersionLast="47" xr6:coauthVersionMax="47" xr10:uidLastSave="{00000000-0000-0000-0000-000000000000}"/>
  <bookViews>
    <workbookView xWindow="0" yWindow="0" windowWidth="28800" windowHeight="18000" tabRatio="500" firstSheet="1" activeTab="1" xr2:uid="{00000000-000D-0000-FFFF-FFFF00000000}"/>
  </bookViews>
  <sheets>
    <sheet name="Dashboard" sheetId="1" r:id="rId1"/>
    <sheet name="Read Me" sheetId="2" r:id="rId2"/>
    <sheet name="Assumptions" sheetId="3" r:id="rId3"/>
    <sheet name="Seasonality" sheetId="4" r:id="rId4"/>
    <sheet name="Market Expansion" sheetId="5" r:id="rId5"/>
    <sheet name="Product Expansion" sheetId="6" r:id="rId6"/>
    <sheet name="Forecast - Conservative" sheetId="7" r:id="rId7"/>
    <sheet name="Forecast - Base" sheetId="8" r:id="rId8"/>
    <sheet name="Forecast - Expansion" sheetId="9" r:id="rId9"/>
    <sheet name="Scenario Summary" sheetId="10" r:id="rId10"/>
    <sheet name="Sensitivity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11" l="1"/>
  <c r="B10" i="11"/>
  <c r="B9" i="11"/>
  <c r="B8" i="11"/>
  <c r="Q40" i="9"/>
  <c r="P40" i="9"/>
  <c r="N40" i="9"/>
  <c r="F40" i="9"/>
  <c r="C40" i="9"/>
  <c r="B40" i="9"/>
  <c r="Q39" i="9"/>
  <c r="P39" i="9"/>
  <c r="N39" i="9"/>
  <c r="F39" i="9"/>
  <c r="C39" i="9"/>
  <c r="B39" i="9"/>
  <c r="Q38" i="9"/>
  <c r="P38" i="9"/>
  <c r="N38" i="9"/>
  <c r="F38" i="9"/>
  <c r="C38" i="9"/>
  <c r="B38" i="9"/>
  <c r="Q37" i="9"/>
  <c r="P37" i="9"/>
  <c r="N37" i="9"/>
  <c r="F37" i="9"/>
  <c r="C37" i="9"/>
  <c r="B37" i="9"/>
  <c r="Q36" i="9"/>
  <c r="P36" i="9"/>
  <c r="N36" i="9"/>
  <c r="F36" i="9"/>
  <c r="C36" i="9"/>
  <c r="B36" i="9"/>
  <c r="Q35" i="9"/>
  <c r="P35" i="9"/>
  <c r="N35" i="9"/>
  <c r="F35" i="9"/>
  <c r="C35" i="9"/>
  <c r="B35" i="9"/>
  <c r="Q34" i="9"/>
  <c r="P34" i="9"/>
  <c r="N34" i="9"/>
  <c r="F34" i="9"/>
  <c r="C34" i="9"/>
  <c r="B34" i="9"/>
  <c r="Q33" i="9"/>
  <c r="P33" i="9"/>
  <c r="N33" i="9"/>
  <c r="F33" i="9"/>
  <c r="C33" i="9"/>
  <c r="B33" i="9"/>
  <c r="Q32" i="9"/>
  <c r="P32" i="9"/>
  <c r="N32" i="9"/>
  <c r="F32" i="9"/>
  <c r="C32" i="9"/>
  <c r="B32" i="9"/>
  <c r="Q31" i="9"/>
  <c r="P31" i="9"/>
  <c r="N31" i="9"/>
  <c r="F31" i="9"/>
  <c r="C31" i="9"/>
  <c r="B31" i="9"/>
  <c r="Q30" i="9"/>
  <c r="P30" i="9"/>
  <c r="N30" i="9"/>
  <c r="F30" i="9"/>
  <c r="C30" i="9"/>
  <c r="B30" i="9"/>
  <c r="Q29" i="9"/>
  <c r="P29" i="9"/>
  <c r="N29" i="9"/>
  <c r="F29" i="9"/>
  <c r="C29" i="9"/>
  <c r="B29" i="9"/>
  <c r="Q28" i="9"/>
  <c r="P28" i="9"/>
  <c r="N28" i="9"/>
  <c r="F28" i="9"/>
  <c r="C28" i="9"/>
  <c r="B28" i="9"/>
  <c r="Q27" i="9"/>
  <c r="P27" i="9"/>
  <c r="N27" i="9"/>
  <c r="F27" i="9"/>
  <c r="C27" i="9"/>
  <c r="B27" i="9"/>
  <c r="Q26" i="9"/>
  <c r="P26" i="9"/>
  <c r="N26" i="9"/>
  <c r="F26" i="9"/>
  <c r="C26" i="9"/>
  <c r="B26" i="9"/>
  <c r="Q25" i="9"/>
  <c r="P25" i="9"/>
  <c r="N25" i="9"/>
  <c r="F25" i="9"/>
  <c r="C25" i="9"/>
  <c r="B25" i="9"/>
  <c r="Q24" i="9"/>
  <c r="P24" i="9"/>
  <c r="N24" i="9"/>
  <c r="F24" i="9"/>
  <c r="C24" i="9"/>
  <c r="B24" i="9"/>
  <c r="Q23" i="9"/>
  <c r="P23" i="9"/>
  <c r="N23" i="9"/>
  <c r="F23" i="9"/>
  <c r="C23" i="9"/>
  <c r="B23" i="9"/>
  <c r="Q22" i="9"/>
  <c r="P22" i="9"/>
  <c r="N22" i="9"/>
  <c r="F22" i="9"/>
  <c r="C22" i="9"/>
  <c r="B22" i="9"/>
  <c r="Q21" i="9"/>
  <c r="P21" i="9"/>
  <c r="N21" i="9"/>
  <c r="F21" i="9"/>
  <c r="C21" i="9"/>
  <c r="B21" i="9"/>
  <c r="Q20" i="9"/>
  <c r="P20" i="9"/>
  <c r="N20" i="9"/>
  <c r="F20" i="9"/>
  <c r="C20" i="9"/>
  <c r="B20" i="9"/>
  <c r="Q19" i="9"/>
  <c r="P19" i="9"/>
  <c r="N19" i="9"/>
  <c r="F19" i="9"/>
  <c r="C19" i="9"/>
  <c r="B19" i="9"/>
  <c r="Q18" i="9"/>
  <c r="P18" i="9"/>
  <c r="N18" i="9"/>
  <c r="F18" i="9"/>
  <c r="C18" i="9"/>
  <c r="B18" i="9"/>
  <c r="Q17" i="9"/>
  <c r="P17" i="9"/>
  <c r="N17" i="9"/>
  <c r="F17" i="9"/>
  <c r="C17" i="9"/>
  <c r="B17" i="9"/>
  <c r="Q16" i="9"/>
  <c r="P16" i="9"/>
  <c r="N16" i="9"/>
  <c r="F16" i="9"/>
  <c r="C16" i="9"/>
  <c r="B16" i="9"/>
  <c r="Q15" i="9"/>
  <c r="P15" i="9"/>
  <c r="N15" i="9"/>
  <c r="F15" i="9"/>
  <c r="C15" i="9"/>
  <c r="B15" i="9"/>
  <c r="Q14" i="9"/>
  <c r="P14" i="9"/>
  <c r="N14" i="9"/>
  <c r="F14" i="9"/>
  <c r="C14" i="9"/>
  <c r="B14" i="9"/>
  <c r="Q13" i="9"/>
  <c r="P13" i="9"/>
  <c r="N13" i="9"/>
  <c r="F13" i="9"/>
  <c r="C13" i="9"/>
  <c r="B13" i="9"/>
  <c r="Q12" i="9"/>
  <c r="P12" i="9"/>
  <c r="N12" i="9"/>
  <c r="F12" i="9"/>
  <c r="C12" i="9"/>
  <c r="B12" i="9"/>
  <c r="Q11" i="9"/>
  <c r="P11" i="9"/>
  <c r="N11" i="9"/>
  <c r="F11" i="9"/>
  <c r="C11" i="9"/>
  <c r="B11" i="9"/>
  <c r="Q10" i="9"/>
  <c r="P10" i="9"/>
  <c r="N10" i="9"/>
  <c r="F10" i="9"/>
  <c r="C10" i="9"/>
  <c r="B10" i="9"/>
  <c r="Q9" i="9"/>
  <c r="P9" i="9"/>
  <c r="N9" i="9"/>
  <c r="F9" i="9"/>
  <c r="C9" i="9"/>
  <c r="B9" i="9"/>
  <c r="Q8" i="9"/>
  <c r="P8" i="9"/>
  <c r="N8" i="9"/>
  <c r="F8" i="9"/>
  <c r="C8" i="9"/>
  <c r="B8" i="9"/>
  <c r="Q7" i="9"/>
  <c r="P7" i="9"/>
  <c r="N7" i="9"/>
  <c r="F7" i="9"/>
  <c r="C7" i="9"/>
  <c r="B7" i="9"/>
  <c r="Q6" i="9"/>
  <c r="P6" i="9"/>
  <c r="N6" i="9"/>
  <c r="F6" i="9"/>
  <c r="C6" i="9"/>
  <c r="B6" i="9"/>
  <c r="Q5" i="9"/>
  <c r="P5" i="9"/>
  <c r="N5" i="9"/>
  <c r="F5" i="9"/>
  <c r="C5" i="9"/>
  <c r="B5" i="9"/>
  <c r="Q40" i="8"/>
  <c r="P40" i="8"/>
  <c r="N40" i="8"/>
  <c r="F40" i="8"/>
  <c r="C40" i="8"/>
  <c r="B40" i="8"/>
  <c r="Q39" i="8"/>
  <c r="P39" i="8"/>
  <c r="N39" i="8"/>
  <c r="F39" i="8"/>
  <c r="C39" i="8"/>
  <c r="B39" i="8"/>
  <c r="Q38" i="8"/>
  <c r="P38" i="8"/>
  <c r="N38" i="8"/>
  <c r="F38" i="8"/>
  <c r="C38" i="8"/>
  <c r="B38" i="8"/>
  <c r="Q37" i="8"/>
  <c r="P37" i="8"/>
  <c r="N37" i="8"/>
  <c r="F37" i="8"/>
  <c r="C37" i="8"/>
  <c r="B37" i="8"/>
  <c r="Q36" i="8"/>
  <c r="P36" i="8"/>
  <c r="N36" i="8"/>
  <c r="F36" i="8"/>
  <c r="C36" i="8"/>
  <c r="B36" i="8"/>
  <c r="Q35" i="8"/>
  <c r="P35" i="8"/>
  <c r="N35" i="8"/>
  <c r="F35" i="8"/>
  <c r="C35" i="8"/>
  <c r="B35" i="8"/>
  <c r="Q34" i="8"/>
  <c r="P34" i="8"/>
  <c r="N34" i="8"/>
  <c r="F34" i="8"/>
  <c r="C34" i="8"/>
  <c r="B34" i="8"/>
  <c r="Q33" i="8"/>
  <c r="P33" i="8"/>
  <c r="N33" i="8"/>
  <c r="F33" i="8"/>
  <c r="C33" i="8"/>
  <c r="B33" i="8"/>
  <c r="Q32" i="8"/>
  <c r="P32" i="8"/>
  <c r="N32" i="8"/>
  <c r="F32" i="8"/>
  <c r="C32" i="8"/>
  <c r="B32" i="8"/>
  <c r="Q31" i="8"/>
  <c r="P31" i="8"/>
  <c r="N31" i="8"/>
  <c r="F31" i="8"/>
  <c r="C31" i="8"/>
  <c r="B31" i="8"/>
  <c r="Q30" i="8"/>
  <c r="P30" i="8"/>
  <c r="N30" i="8"/>
  <c r="F30" i="8"/>
  <c r="C30" i="8"/>
  <c r="B30" i="8"/>
  <c r="Q29" i="8"/>
  <c r="P29" i="8"/>
  <c r="N29" i="8"/>
  <c r="F29" i="8"/>
  <c r="C29" i="8"/>
  <c r="B29" i="8"/>
  <c r="Q28" i="8"/>
  <c r="P28" i="8"/>
  <c r="N28" i="8"/>
  <c r="F28" i="8"/>
  <c r="C28" i="8"/>
  <c r="B28" i="8"/>
  <c r="Q27" i="8"/>
  <c r="P27" i="8"/>
  <c r="N27" i="8"/>
  <c r="F27" i="8"/>
  <c r="C27" i="8"/>
  <c r="B27" i="8"/>
  <c r="Q26" i="8"/>
  <c r="P26" i="8"/>
  <c r="N26" i="8"/>
  <c r="F26" i="8"/>
  <c r="C26" i="8"/>
  <c r="B26" i="8"/>
  <c r="Q25" i="8"/>
  <c r="P25" i="8"/>
  <c r="N25" i="8"/>
  <c r="F25" i="8"/>
  <c r="C25" i="8"/>
  <c r="B25" i="8"/>
  <c r="Q24" i="8"/>
  <c r="P24" i="8"/>
  <c r="N24" i="8"/>
  <c r="F24" i="8"/>
  <c r="C24" i="8"/>
  <c r="B24" i="8"/>
  <c r="Q23" i="8"/>
  <c r="P23" i="8"/>
  <c r="N23" i="8"/>
  <c r="F23" i="8"/>
  <c r="C23" i="8"/>
  <c r="B23" i="8"/>
  <c r="Q22" i="8"/>
  <c r="P22" i="8"/>
  <c r="N22" i="8"/>
  <c r="F22" i="8"/>
  <c r="C22" i="8"/>
  <c r="B22" i="8"/>
  <c r="Q21" i="8"/>
  <c r="P21" i="8"/>
  <c r="N21" i="8"/>
  <c r="F21" i="8"/>
  <c r="C21" i="8"/>
  <c r="B21" i="8"/>
  <c r="Q20" i="8"/>
  <c r="P20" i="8"/>
  <c r="N20" i="8"/>
  <c r="F20" i="8"/>
  <c r="C20" i="8"/>
  <c r="B20" i="8"/>
  <c r="Q19" i="8"/>
  <c r="P19" i="8"/>
  <c r="N19" i="8"/>
  <c r="F19" i="8"/>
  <c r="C19" i="8"/>
  <c r="B19" i="8"/>
  <c r="Q18" i="8"/>
  <c r="P18" i="8"/>
  <c r="N18" i="8"/>
  <c r="F18" i="8"/>
  <c r="C18" i="8"/>
  <c r="B18" i="8"/>
  <c r="Q17" i="8"/>
  <c r="P17" i="8"/>
  <c r="N17" i="8"/>
  <c r="F17" i="8"/>
  <c r="C17" i="8"/>
  <c r="B17" i="8"/>
  <c r="Q16" i="8"/>
  <c r="P16" i="8"/>
  <c r="N16" i="8"/>
  <c r="F16" i="8"/>
  <c r="C16" i="8"/>
  <c r="B16" i="8"/>
  <c r="Q15" i="8"/>
  <c r="P15" i="8"/>
  <c r="N15" i="8"/>
  <c r="F15" i="8"/>
  <c r="C15" i="8"/>
  <c r="B15" i="8"/>
  <c r="Q14" i="8"/>
  <c r="P14" i="8"/>
  <c r="N14" i="8"/>
  <c r="F14" i="8"/>
  <c r="C14" i="8"/>
  <c r="B14" i="8"/>
  <c r="Q13" i="8"/>
  <c r="P13" i="8"/>
  <c r="N13" i="8"/>
  <c r="F13" i="8"/>
  <c r="C13" i="8"/>
  <c r="B13" i="8"/>
  <c r="Q12" i="8"/>
  <c r="P12" i="8"/>
  <c r="N12" i="8"/>
  <c r="F12" i="8"/>
  <c r="C12" i="8"/>
  <c r="B12" i="8"/>
  <c r="Q11" i="8"/>
  <c r="P11" i="8"/>
  <c r="N11" i="8"/>
  <c r="F11" i="8"/>
  <c r="C11" i="8"/>
  <c r="B11" i="8"/>
  <c r="Q10" i="8"/>
  <c r="P10" i="8"/>
  <c r="N10" i="8"/>
  <c r="F10" i="8"/>
  <c r="C10" i="8"/>
  <c r="B10" i="8"/>
  <c r="Q9" i="8"/>
  <c r="P9" i="8"/>
  <c r="N9" i="8"/>
  <c r="F9" i="8"/>
  <c r="C9" i="8"/>
  <c r="B9" i="8"/>
  <c r="Q8" i="8"/>
  <c r="P8" i="8"/>
  <c r="N8" i="8"/>
  <c r="F8" i="8"/>
  <c r="C8" i="8"/>
  <c r="B8" i="8"/>
  <c r="Q7" i="8"/>
  <c r="P7" i="8"/>
  <c r="N7" i="8"/>
  <c r="F7" i="8"/>
  <c r="C7" i="8"/>
  <c r="B7" i="8"/>
  <c r="Q6" i="8"/>
  <c r="P6" i="8"/>
  <c r="N6" i="8"/>
  <c r="F6" i="8"/>
  <c r="C6" i="8"/>
  <c r="B6" i="8"/>
  <c r="Q5" i="8"/>
  <c r="P5" i="8"/>
  <c r="N5" i="8"/>
  <c r="F5" i="8"/>
  <c r="C5" i="8"/>
  <c r="B5" i="8"/>
  <c r="Q40" i="7"/>
  <c r="P40" i="7"/>
  <c r="N40" i="7"/>
  <c r="F40" i="7"/>
  <c r="C40" i="7"/>
  <c r="B40" i="7"/>
  <c r="Q39" i="7"/>
  <c r="P39" i="7"/>
  <c r="N39" i="7"/>
  <c r="F39" i="7"/>
  <c r="C39" i="7"/>
  <c r="B39" i="7"/>
  <c r="Q38" i="7"/>
  <c r="P38" i="7"/>
  <c r="N38" i="7"/>
  <c r="F38" i="7"/>
  <c r="C38" i="7"/>
  <c r="B38" i="7"/>
  <c r="Q37" i="7"/>
  <c r="P37" i="7"/>
  <c r="N37" i="7"/>
  <c r="F37" i="7"/>
  <c r="C37" i="7"/>
  <c r="B37" i="7"/>
  <c r="Q36" i="7"/>
  <c r="P36" i="7"/>
  <c r="N36" i="7"/>
  <c r="F36" i="7"/>
  <c r="C36" i="7"/>
  <c r="B36" i="7"/>
  <c r="Q35" i="7"/>
  <c r="P35" i="7"/>
  <c r="N35" i="7"/>
  <c r="F35" i="7"/>
  <c r="C35" i="7"/>
  <c r="B35" i="7"/>
  <c r="E35" i="7" s="1"/>
  <c r="Q34" i="7"/>
  <c r="P34" i="7"/>
  <c r="N34" i="7"/>
  <c r="F34" i="7"/>
  <c r="C34" i="7"/>
  <c r="B34" i="7"/>
  <c r="Q33" i="7"/>
  <c r="P33" i="7"/>
  <c r="N33" i="7"/>
  <c r="F33" i="7"/>
  <c r="C33" i="7"/>
  <c r="B33" i="7"/>
  <c r="E33" i="7" s="1"/>
  <c r="Q32" i="7"/>
  <c r="P32" i="7"/>
  <c r="N32" i="7"/>
  <c r="F32" i="7"/>
  <c r="C32" i="7"/>
  <c r="B32" i="7"/>
  <c r="Q31" i="7"/>
  <c r="P31" i="7"/>
  <c r="N31" i="7"/>
  <c r="F31" i="7"/>
  <c r="C31" i="7"/>
  <c r="B31" i="7"/>
  <c r="E31" i="7" s="1"/>
  <c r="Q30" i="7"/>
  <c r="P30" i="7"/>
  <c r="N30" i="7"/>
  <c r="F30" i="7"/>
  <c r="C30" i="7"/>
  <c r="B30" i="7"/>
  <c r="Q29" i="7"/>
  <c r="P29" i="7"/>
  <c r="N29" i="7"/>
  <c r="F29" i="7"/>
  <c r="C29" i="7"/>
  <c r="B29" i="7"/>
  <c r="E29" i="7" s="1"/>
  <c r="Q28" i="7"/>
  <c r="P28" i="7"/>
  <c r="N28" i="7"/>
  <c r="F28" i="7"/>
  <c r="C28" i="7"/>
  <c r="B28" i="7"/>
  <c r="E28" i="7" s="1"/>
  <c r="Q27" i="7"/>
  <c r="P27" i="7"/>
  <c r="N27" i="7"/>
  <c r="F27" i="7"/>
  <c r="C27" i="7"/>
  <c r="B27" i="7"/>
  <c r="E27" i="7" s="1"/>
  <c r="Q26" i="7"/>
  <c r="P26" i="7"/>
  <c r="N26" i="7"/>
  <c r="F26" i="7"/>
  <c r="C26" i="7"/>
  <c r="B26" i="7"/>
  <c r="Q25" i="7"/>
  <c r="P25" i="7"/>
  <c r="N25" i="7"/>
  <c r="F25" i="7"/>
  <c r="C25" i="7"/>
  <c r="B25" i="7"/>
  <c r="E25" i="7" s="1"/>
  <c r="Q24" i="7"/>
  <c r="P24" i="7"/>
  <c r="N24" i="7"/>
  <c r="F24" i="7"/>
  <c r="C24" i="7"/>
  <c r="B24" i="7"/>
  <c r="Q23" i="7"/>
  <c r="P23" i="7"/>
  <c r="N23" i="7"/>
  <c r="F23" i="7"/>
  <c r="C23" i="7"/>
  <c r="B23" i="7"/>
  <c r="E23" i="7" s="1"/>
  <c r="Q22" i="7"/>
  <c r="P22" i="7"/>
  <c r="N22" i="7"/>
  <c r="F22" i="7"/>
  <c r="C22" i="7"/>
  <c r="B22" i="7"/>
  <c r="Q21" i="7"/>
  <c r="P21" i="7"/>
  <c r="N21" i="7"/>
  <c r="F21" i="7"/>
  <c r="C21" i="7"/>
  <c r="B21" i="7"/>
  <c r="E21" i="7" s="1"/>
  <c r="Q20" i="7"/>
  <c r="P20" i="7"/>
  <c r="N20" i="7"/>
  <c r="F20" i="7"/>
  <c r="C20" i="7"/>
  <c r="B20" i="7"/>
  <c r="E20" i="7" s="1"/>
  <c r="Q19" i="7"/>
  <c r="P19" i="7"/>
  <c r="N19" i="7"/>
  <c r="F19" i="7"/>
  <c r="C19" i="7"/>
  <c r="B19" i="7"/>
  <c r="E19" i="7" s="1"/>
  <c r="Q18" i="7"/>
  <c r="P18" i="7"/>
  <c r="N18" i="7"/>
  <c r="F18" i="7"/>
  <c r="C18" i="7"/>
  <c r="B18" i="7"/>
  <c r="Q17" i="7"/>
  <c r="P17" i="7"/>
  <c r="N17" i="7"/>
  <c r="F17" i="7"/>
  <c r="C17" i="7"/>
  <c r="B17" i="7"/>
  <c r="E17" i="7" s="1"/>
  <c r="Q16" i="7"/>
  <c r="P16" i="7"/>
  <c r="N16" i="7"/>
  <c r="F16" i="7"/>
  <c r="C16" i="7"/>
  <c r="B16" i="7"/>
  <c r="E16" i="7" s="1"/>
  <c r="Q15" i="7"/>
  <c r="P15" i="7"/>
  <c r="N15" i="7"/>
  <c r="F15" i="7"/>
  <c r="C15" i="7"/>
  <c r="B15" i="7"/>
  <c r="E15" i="7" s="1"/>
  <c r="Q14" i="7"/>
  <c r="P14" i="7"/>
  <c r="N14" i="7"/>
  <c r="F14" i="7"/>
  <c r="C14" i="7"/>
  <c r="B14" i="7"/>
  <c r="E14" i="7" s="1"/>
  <c r="Q13" i="7"/>
  <c r="P13" i="7"/>
  <c r="N13" i="7"/>
  <c r="F13" i="7"/>
  <c r="C13" i="7"/>
  <c r="B13" i="7"/>
  <c r="E13" i="7" s="1"/>
  <c r="Q12" i="7"/>
  <c r="P12" i="7"/>
  <c r="N12" i="7"/>
  <c r="F12" i="7"/>
  <c r="C12" i="7"/>
  <c r="B12" i="7"/>
  <c r="E12" i="7" s="1"/>
  <c r="Q11" i="7"/>
  <c r="P11" i="7"/>
  <c r="N11" i="7"/>
  <c r="F11" i="7"/>
  <c r="C11" i="7"/>
  <c r="B11" i="7"/>
  <c r="E11" i="7" s="1"/>
  <c r="Q10" i="7"/>
  <c r="P10" i="7"/>
  <c r="N10" i="7"/>
  <c r="F10" i="7"/>
  <c r="C10" i="7"/>
  <c r="B10" i="7"/>
  <c r="E10" i="7" s="1"/>
  <c r="Q9" i="7"/>
  <c r="P9" i="7"/>
  <c r="N9" i="7"/>
  <c r="F9" i="7"/>
  <c r="C9" i="7"/>
  <c r="B9" i="7"/>
  <c r="E9" i="7" s="1"/>
  <c r="Q8" i="7"/>
  <c r="P8" i="7"/>
  <c r="N8" i="7"/>
  <c r="F8" i="7"/>
  <c r="C8" i="7"/>
  <c r="B8" i="7"/>
  <c r="E8" i="7" s="1"/>
  <c r="Q7" i="7"/>
  <c r="P7" i="7"/>
  <c r="N7" i="7"/>
  <c r="F7" i="7"/>
  <c r="C7" i="7"/>
  <c r="B7" i="7"/>
  <c r="E7" i="7" s="1"/>
  <c r="Q6" i="7"/>
  <c r="P6" i="7"/>
  <c r="N6" i="7"/>
  <c r="F6" i="7"/>
  <c r="C6" i="7"/>
  <c r="B6" i="7"/>
  <c r="E6" i="7" s="1"/>
  <c r="Q5" i="7"/>
  <c r="P5" i="7"/>
  <c r="N5" i="7"/>
  <c r="F5" i="7"/>
  <c r="C5" i="7"/>
  <c r="B5" i="7"/>
  <c r="C15" i="6"/>
  <c r="D13" i="6"/>
  <c r="D12" i="6"/>
  <c r="D11" i="6"/>
  <c r="D10" i="6"/>
  <c r="D9" i="6"/>
  <c r="D8" i="6"/>
  <c r="D15" i="6" s="1"/>
  <c r="D56" i="5"/>
  <c r="D40" i="9" s="1"/>
  <c r="C56" i="5"/>
  <c r="B56" i="5"/>
  <c r="D40" i="7" s="1"/>
  <c r="D55" i="5"/>
  <c r="D39" i="9" s="1"/>
  <c r="C55" i="5"/>
  <c r="D39" i="8" s="1"/>
  <c r="B55" i="5"/>
  <c r="D39" i="7" s="1"/>
  <c r="D54" i="5"/>
  <c r="D38" i="9" s="1"/>
  <c r="C54" i="5"/>
  <c r="D38" i="8" s="1"/>
  <c r="B54" i="5"/>
  <c r="D38" i="7" s="1"/>
  <c r="D53" i="5"/>
  <c r="D37" i="9" s="1"/>
  <c r="C53" i="5"/>
  <c r="D37" i="8" s="1"/>
  <c r="B53" i="5"/>
  <c r="D37" i="7" s="1"/>
  <c r="D52" i="5"/>
  <c r="D36" i="9" s="1"/>
  <c r="C52" i="5"/>
  <c r="D36" i="8" s="1"/>
  <c r="B52" i="5"/>
  <c r="D36" i="7" s="1"/>
  <c r="D51" i="5"/>
  <c r="D35" i="9" s="1"/>
  <c r="C51" i="5"/>
  <c r="D35" i="8" s="1"/>
  <c r="B51" i="5"/>
  <c r="D35" i="7" s="1"/>
  <c r="D50" i="5"/>
  <c r="D34" i="9" s="1"/>
  <c r="C50" i="5"/>
  <c r="D34" i="8" s="1"/>
  <c r="B50" i="5"/>
  <c r="D34" i="7" s="1"/>
  <c r="D49" i="5"/>
  <c r="D33" i="9" s="1"/>
  <c r="C49" i="5"/>
  <c r="D33" i="8" s="1"/>
  <c r="B49" i="5"/>
  <c r="D33" i="7" s="1"/>
  <c r="D48" i="5"/>
  <c r="D32" i="9" s="1"/>
  <c r="C48" i="5"/>
  <c r="D32" i="8" s="1"/>
  <c r="B48" i="5"/>
  <c r="D32" i="7" s="1"/>
  <c r="D47" i="5"/>
  <c r="D31" i="9" s="1"/>
  <c r="C47" i="5"/>
  <c r="D31" i="8" s="1"/>
  <c r="B47" i="5"/>
  <c r="D31" i="7" s="1"/>
  <c r="D46" i="5"/>
  <c r="D30" i="9" s="1"/>
  <c r="C46" i="5"/>
  <c r="D30" i="8" s="1"/>
  <c r="B46" i="5"/>
  <c r="D30" i="7" s="1"/>
  <c r="D45" i="5"/>
  <c r="D29" i="9" s="1"/>
  <c r="C45" i="5"/>
  <c r="D29" i="8" s="1"/>
  <c r="B45" i="5"/>
  <c r="D29" i="7" s="1"/>
  <c r="D44" i="5"/>
  <c r="D28" i="9" s="1"/>
  <c r="C44" i="5"/>
  <c r="D28" i="8" s="1"/>
  <c r="B44" i="5"/>
  <c r="D28" i="7" s="1"/>
  <c r="D43" i="5"/>
  <c r="D27" i="9" s="1"/>
  <c r="C43" i="5"/>
  <c r="D27" i="8" s="1"/>
  <c r="B43" i="5"/>
  <c r="D27" i="7" s="1"/>
  <c r="D42" i="5"/>
  <c r="D26" i="9" s="1"/>
  <c r="C42" i="5"/>
  <c r="D26" i="8" s="1"/>
  <c r="B42" i="5"/>
  <c r="D26" i="7" s="1"/>
  <c r="D41" i="5"/>
  <c r="D25" i="9" s="1"/>
  <c r="C41" i="5"/>
  <c r="D25" i="8" s="1"/>
  <c r="B41" i="5"/>
  <c r="D25" i="7" s="1"/>
  <c r="D40" i="5"/>
  <c r="D24" i="9" s="1"/>
  <c r="C40" i="5"/>
  <c r="D24" i="8" s="1"/>
  <c r="B40" i="5"/>
  <c r="D24" i="7" s="1"/>
  <c r="D39" i="5"/>
  <c r="D23" i="9" s="1"/>
  <c r="C39" i="5"/>
  <c r="D23" i="8" s="1"/>
  <c r="B39" i="5"/>
  <c r="D23" i="7" s="1"/>
  <c r="D38" i="5"/>
  <c r="D22" i="9" s="1"/>
  <c r="C38" i="5"/>
  <c r="D22" i="8" s="1"/>
  <c r="B38" i="5"/>
  <c r="D22" i="7" s="1"/>
  <c r="D37" i="5"/>
  <c r="D21" i="9" s="1"/>
  <c r="C37" i="5"/>
  <c r="D21" i="8" s="1"/>
  <c r="B37" i="5"/>
  <c r="D21" i="7" s="1"/>
  <c r="D36" i="5"/>
  <c r="D20" i="9" s="1"/>
  <c r="C36" i="5"/>
  <c r="D20" i="8" s="1"/>
  <c r="B36" i="5"/>
  <c r="D20" i="7" s="1"/>
  <c r="D35" i="5"/>
  <c r="D19" i="9" s="1"/>
  <c r="C35" i="5"/>
  <c r="D19" i="8" s="1"/>
  <c r="B35" i="5"/>
  <c r="D19" i="7" s="1"/>
  <c r="D34" i="5"/>
  <c r="D18" i="9" s="1"/>
  <c r="C34" i="5"/>
  <c r="D18" i="8" s="1"/>
  <c r="B34" i="5"/>
  <c r="D18" i="7" s="1"/>
  <c r="D33" i="5"/>
  <c r="D17" i="9" s="1"/>
  <c r="C33" i="5"/>
  <c r="D17" i="8" s="1"/>
  <c r="B33" i="5"/>
  <c r="D17" i="7" s="1"/>
  <c r="D32" i="5"/>
  <c r="D16" i="9" s="1"/>
  <c r="C32" i="5"/>
  <c r="D16" i="8" s="1"/>
  <c r="B32" i="5"/>
  <c r="D16" i="7" s="1"/>
  <c r="D31" i="5"/>
  <c r="D15" i="9" s="1"/>
  <c r="C31" i="5"/>
  <c r="D15" i="8" s="1"/>
  <c r="B31" i="5"/>
  <c r="D15" i="7" s="1"/>
  <c r="D30" i="5"/>
  <c r="D14" i="9" s="1"/>
  <c r="C30" i="5"/>
  <c r="D14" i="8" s="1"/>
  <c r="B30" i="5"/>
  <c r="D14" i="7" s="1"/>
  <c r="D29" i="5"/>
  <c r="D13" i="9" s="1"/>
  <c r="C29" i="5"/>
  <c r="D13" i="8" s="1"/>
  <c r="B29" i="5"/>
  <c r="D13" i="7" s="1"/>
  <c r="D28" i="5"/>
  <c r="D12" i="9" s="1"/>
  <c r="C28" i="5"/>
  <c r="D12" i="8" s="1"/>
  <c r="B28" i="5"/>
  <c r="D12" i="7" s="1"/>
  <c r="D27" i="5"/>
  <c r="D11" i="9" s="1"/>
  <c r="C27" i="5"/>
  <c r="D11" i="8" s="1"/>
  <c r="B27" i="5"/>
  <c r="D11" i="7" s="1"/>
  <c r="D26" i="5"/>
  <c r="D10" i="9" s="1"/>
  <c r="C26" i="5"/>
  <c r="D10" i="8" s="1"/>
  <c r="B26" i="5"/>
  <c r="D10" i="7" s="1"/>
  <c r="G10" i="7" s="1"/>
  <c r="H10" i="7" s="1"/>
  <c r="I10" i="7" s="1"/>
  <c r="D25" i="5"/>
  <c r="D9" i="9" s="1"/>
  <c r="C25" i="5"/>
  <c r="D9" i="8" s="1"/>
  <c r="B25" i="5"/>
  <c r="D9" i="7" s="1"/>
  <c r="D24" i="5"/>
  <c r="D8" i="9" s="1"/>
  <c r="C24" i="5"/>
  <c r="D8" i="8" s="1"/>
  <c r="B24" i="5"/>
  <c r="D8" i="7" s="1"/>
  <c r="D23" i="5"/>
  <c r="D7" i="9" s="1"/>
  <c r="C23" i="5"/>
  <c r="D7" i="8" s="1"/>
  <c r="G7" i="8" s="1"/>
  <c r="H7" i="8" s="1"/>
  <c r="I7" i="8" s="1"/>
  <c r="B23" i="5"/>
  <c r="D7" i="7" s="1"/>
  <c r="D22" i="5"/>
  <c r="D6" i="9" s="1"/>
  <c r="C22" i="5"/>
  <c r="D6" i="8" s="1"/>
  <c r="B22" i="5"/>
  <c r="D6" i="7" s="1"/>
  <c r="D21" i="5"/>
  <c r="D5" i="9" s="1"/>
  <c r="C21" i="5"/>
  <c r="D5" i="8" s="1"/>
  <c r="B21" i="5"/>
  <c r="D5" i="7" s="1"/>
  <c r="E9" i="5"/>
  <c r="E8" i="5"/>
  <c r="E7" i="5"/>
  <c r="E6" i="5"/>
  <c r="E19" i="4"/>
  <c r="E18" i="4"/>
  <c r="E7" i="8" s="1"/>
  <c r="E17" i="4"/>
  <c r="E16" i="4"/>
  <c r="E5" i="7" s="1"/>
  <c r="E15" i="4"/>
  <c r="E28" i="9" s="1"/>
  <c r="E14" i="4"/>
  <c r="E15" i="8" s="1"/>
  <c r="E13" i="4"/>
  <c r="E12" i="4"/>
  <c r="E11" i="4"/>
  <c r="E10" i="4"/>
  <c r="E9" i="4"/>
  <c r="E8" i="4"/>
  <c r="G13" i="7" l="1"/>
  <c r="H13" i="7" s="1"/>
  <c r="I13" i="7" s="1"/>
  <c r="E22" i="7"/>
  <c r="G22" i="7" s="1"/>
  <c r="H22" i="7" s="1"/>
  <c r="I22" i="7" s="1"/>
  <c r="E30" i="7"/>
  <c r="G8" i="7"/>
  <c r="H8" i="7" s="1"/>
  <c r="I8" i="7" s="1"/>
  <c r="G16" i="7"/>
  <c r="H16" i="7" s="1"/>
  <c r="I16" i="7" s="1"/>
  <c r="E36" i="9"/>
  <c r="E20" i="9"/>
  <c r="G6" i="7"/>
  <c r="H6" i="7" s="1"/>
  <c r="I6" i="7" s="1"/>
  <c r="G14" i="7"/>
  <c r="H14" i="7" s="1"/>
  <c r="I14" i="7" s="1"/>
  <c r="G9" i="7"/>
  <c r="H9" i="7" s="1"/>
  <c r="I9" i="7" s="1"/>
  <c r="G25" i="7"/>
  <c r="H25" i="7" s="1"/>
  <c r="I25" i="7" s="1"/>
  <c r="G33" i="7"/>
  <c r="H33" i="7" s="1"/>
  <c r="I33" i="7" s="1"/>
  <c r="G21" i="7"/>
  <c r="H21" i="7" s="1"/>
  <c r="I21" i="7" s="1"/>
  <c r="G29" i="7"/>
  <c r="H29" i="7" s="1"/>
  <c r="I29" i="7" s="1"/>
  <c r="G17" i="7"/>
  <c r="H17" i="7" s="1"/>
  <c r="I17" i="7" s="1"/>
  <c r="E26" i="7"/>
  <c r="G12" i="7"/>
  <c r="H12" i="7" s="1"/>
  <c r="I12" i="7" s="1"/>
  <c r="G20" i="7"/>
  <c r="H20" i="7" s="1"/>
  <c r="I20" i="7" s="1"/>
  <c r="G28" i="7"/>
  <c r="H28" i="7" s="1"/>
  <c r="I28" i="7" s="1"/>
  <c r="G5" i="7"/>
  <c r="H5" i="7" s="1"/>
  <c r="I5" i="7" s="1"/>
  <c r="L5" i="7" s="1"/>
  <c r="M5" i="7" s="1"/>
  <c r="G11" i="7"/>
  <c r="H11" i="7" s="1"/>
  <c r="I11" i="7" s="1"/>
  <c r="G19" i="7"/>
  <c r="H19" i="7" s="1"/>
  <c r="I19" i="7" s="1"/>
  <c r="G27" i="7"/>
  <c r="H27" i="7" s="1"/>
  <c r="I27" i="7" s="1"/>
  <c r="G30" i="7"/>
  <c r="H30" i="7" s="1"/>
  <c r="I30" i="7" s="1"/>
  <c r="G7" i="7"/>
  <c r="H7" i="7" s="1"/>
  <c r="I7" i="7" s="1"/>
  <c r="G15" i="7"/>
  <c r="H15" i="7" s="1"/>
  <c r="I15" i="7" s="1"/>
  <c r="G23" i="7"/>
  <c r="H23" i="7" s="1"/>
  <c r="I23" i="7" s="1"/>
  <c r="G31" i="7"/>
  <c r="H31" i="7" s="1"/>
  <c r="I31" i="7" s="1"/>
  <c r="G26" i="7"/>
  <c r="H26" i="7" s="1"/>
  <c r="I26" i="7" s="1"/>
  <c r="E18" i="7"/>
  <c r="G18" i="7" s="1"/>
  <c r="H18" i="7" s="1"/>
  <c r="I18" i="7" s="1"/>
  <c r="E34" i="7"/>
  <c r="G34" i="7" s="1"/>
  <c r="H34" i="7" s="1"/>
  <c r="I34" i="7" s="1"/>
  <c r="E19" i="8"/>
  <c r="E27" i="8"/>
  <c r="E31" i="8"/>
  <c r="E39" i="8"/>
  <c r="G35" i="7"/>
  <c r="H35" i="7" s="1"/>
  <c r="I35" i="7" s="1"/>
  <c r="B7" i="11"/>
  <c r="D40" i="8"/>
  <c r="E10" i="8"/>
  <c r="E35" i="8"/>
  <c r="G35" i="8" s="1"/>
  <c r="H35" i="8" s="1"/>
  <c r="I35" i="8" s="1"/>
  <c r="E11" i="8"/>
  <c r="G11" i="8" s="1"/>
  <c r="H11" i="8" s="1"/>
  <c r="I11" i="8" s="1"/>
  <c r="E23" i="8"/>
  <c r="G19" i="8"/>
  <c r="H19" i="8" s="1"/>
  <c r="I19" i="8" s="1"/>
  <c r="G24" i="9"/>
  <c r="H24" i="9" s="1"/>
  <c r="I24" i="9" s="1"/>
  <c r="G27" i="8"/>
  <c r="H27" i="8" s="1"/>
  <c r="I27" i="8" s="1"/>
  <c r="E24" i="7"/>
  <c r="G24" i="7" s="1"/>
  <c r="H24" i="7" s="1"/>
  <c r="I24" i="7" s="1"/>
  <c r="E32" i="7"/>
  <c r="G32" i="7" s="1"/>
  <c r="H32" i="7" s="1"/>
  <c r="I32" i="7" s="1"/>
  <c r="E8" i="8"/>
  <c r="G8" i="8" s="1"/>
  <c r="H8" i="8" s="1"/>
  <c r="I8" i="8" s="1"/>
  <c r="E9" i="8"/>
  <c r="G9" i="8" s="1"/>
  <c r="H9" i="8" s="1"/>
  <c r="I9" i="8" s="1"/>
  <c r="E14" i="8"/>
  <c r="G14" i="8" s="1"/>
  <c r="H14" i="8" s="1"/>
  <c r="I14" i="8" s="1"/>
  <c r="E30" i="8"/>
  <c r="G30" i="8" s="1"/>
  <c r="H30" i="8" s="1"/>
  <c r="I30" i="8" s="1"/>
  <c r="E25" i="9"/>
  <c r="E13" i="9"/>
  <c r="G13" i="9" s="1"/>
  <c r="H13" i="9" s="1"/>
  <c r="I13" i="9" s="1"/>
  <c r="E6" i="8"/>
  <c r="G6" i="8" s="1"/>
  <c r="H6" i="8" s="1"/>
  <c r="I6" i="8" s="1"/>
  <c r="E38" i="9"/>
  <c r="E26" i="8"/>
  <c r="G26" i="8" s="1"/>
  <c r="H26" i="8" s="1"/>
  <c r="I26" i="8" s="1"/>
  <c r="E38" i="8"/>
  <c r="G38" i="8" s="1"/>
  <c r="H38" i="8" s="1"/>
  <c r="I38" i="8" s="1"/>
  <c r="G25" i="8"/>
  <c r="H25" i="8" s="1"/>
  <c r="I25" i="8" s="1"/>
  <c r="G38" i="9"/>
  <c r="H38" i="9" s="1"/>
  <c r="I38" i="9" s="1"/>
  <c r="E36" i="7"/>
  <c r="G36" i="7" s="1"/>
  <c r="H36" i="7" s="1"/>
  <c r="I36" i="7" s="1"/>
  <c r="E40" i="7"/>
  <c r="G40" i="7" s="1"/>
  <c r="H40" i="7" s="1"/>
  <c r="I40" i="7" s="1"/>
  <c r="E5" i="8"/>
  <c r="G5" i="8" s="1"/>
  <c r="H5" i="8" s="1"/>
  <c r="I5" i="8" s="1"/>
  <c r="L5" i="8" s="1"/>
  <c r="M5" i="8" s="1"/>
  <c r="E13" i="8"/>
  <c r="G13" i="8" s="1"/>
  <c r="H13" i="8" s="1"/>
  <c r="I13" i="8" s="1"/>
  <c r="E17" i="8"/>
  <c r="G17" i="8" s="1"/>
  <c r="H17" i="8" s="1"/>
  <c r="I17" i="8" s="1"/>
  <c r="E25" i="8"/>
  <c r="E29" i="8"/>
  <c r="G29" i="8" s="1"/>
  <c r="H29" i="8" s="1"/>
  <c r="I29" i="8" s="1"/>
  <c r="G25" i="9"/>
  <c r="H25" i="9" s="1"/>
  <c r="I25" i="9" s="1"/>
  <c r="G39" i="7"/>
  <c r="H39" i="7" s="1"/>
  <c r="I39" i="7" s="1"/>
  <c r="E39" i="7"/>
  <c r="G15" i="8"/>
  <c r="H15" i="8" s="1"/>
  <c r="I15" i="8" s="1"/>
  <c r="G20" i="9"/>
  <c r="H20" i="9" s="1"/>
  <c r="I20" i="9" s="1"/>
  <c r="G23" i="8"/>
  <c r="H23" i="8" s="1"/>
  <c r="I23" i="8" s="1"/>
  <c r="G28" i="9"/>
  <c r="H28" i="9" s="1"/>
  <c r="I28" i="9" s="1"/>
  <c r="G31" i="8"/>
  <c r="H31" i="8" s="1"/>
  <c r="I31" i="8" s="1"/>
  <c r="G36" i="9"/>
  <c r="H36" i="9" s="1"/>
  <c r="I36" i="9" s="1"/>
  <c r="G39" i="8"/>
  <c r="H39" i="8" s="1"/>
  <c r="I39" i="8" s="1"/>
  <c r="E38" i="7"/>
  <c r="G38" i="7" s="1"/>
  <c r="H38" i="7" s="1"/>
  <c r="I38" i="7" s="1"/>
  <c r="E12" i="8"/>
  <c r="G12" i="8" s="1"/>
  <c r="H12" i="8" s="1"/>
  <c r="I12" i="8" s="1"/>
  <c r="E16" i="8"/>
  <c r="G16" i="8" s="1"/>
  <c r="H16" i="8" s="1"/>
  <c r="I16" i="8" s="1"/>
  <c r="E20" i="8"/>
  <c r="G20" i="8" s="1"/>
  <c r="H20" i="8" s="1"/>
  <c r="I20" i="8" s="1"/>
  <c r="E24" i="8"/>
  <c r="G24" i="8" s="1"/>
  <c r="H24" i="8" s="1"/>
  <c r="I24" i="8" s="1"/>
  <c r="E28" i="8"/>
  <c r="G28" i="8" s="1"/>
  <c r="H28" i="8" s="1"/>
  <c r="I28" i="8" s="1"/>
  <c r="E22" i="9"/>
  <c r="G22" i="9" s="1"/>
  <c r="H22" i="9" s="1"/>
  <c r="I22" i="9" s="1"/>
  <c r="E22" i="8"/>
  <c r="G22" i="8" s="1"/>
  <c r="H22" i="8" s="1"/>
  <c r="I22" i="8" s="1"/>
  <c r="E18" i="8"/>
  <c r="G18" i="8" s="1"/>
  <c r="H18" i="8" s="1"/>
  <c r="I18" i="8" s="1"/>
  <c r="E30" i="9"/>
  <c r="G30" i="9" s="1"/>
  <c r="H30" i="9" s="1"/>
  <c r="I30" i="9" s="1"/>
  <c r="E33" i="9"/>
  <c r="G33" i="9" s="1"/>
  <c r="H33" i="9" s="1"/>
  <c r="I33" i="9" s="1"/>
  <c r="E21" i="8"/>
  <c r="G21" i="8" s="1"/>
  <c r="H21" i="8" s="1"/>
  <c r="I21" i="8" s="1"/>
  <c r="E9" i="9"/>
  <c r="G9" i="9" s="1"/>
  <c r="H9" i="9" s="1"/>
  <c r="I9" i="9" s="1"/>
  <c r="E33" i="8"/>
  <c r="G33" i="8" s="1"/>
  <c r="H33" i="8" s="1"/>
  <c r="I33" i="8" s="1"/>
  <c r="E17" i="9"/>
  <c r="G17" i="9" s="1"/>
  <c r="H17" i="9" s="1"/>
  <c r="I17" i="9" s="1"/>
  <c r="E5" i="9"/>
  <c r="G5" i="9" s="1"/>
  <c r="H5" i="9" s="1"/>
  <c r="I5" i="9" s="1"/>
  <c r="L5" i="9" s="1"/>
  <c r="M5" i="9" s="1"/>
  <c r="G10" i="8"/>
  <c r="H10" i="8" s="1"/>
  <c r="I10" i="8" s="1"/>
  <c r="E37" i="7"/>
  <c r="G37" i="7" s="1"/>
  <c r="H37" i="7" s="1"/>
  <c r="I37" i="7" s="1"/>
  <c r="E15" i="9"/>
  <c r="G15" i="9" s="1"/>
  <c r="H15" i="9" s="1"/>
  <c r="I15" i="9" s="1"/>
  <c r="E21" i="9"/>
  <c r="G21" i="9" s="1"/>
  <c r="H21" i="9" s="1"/>
  <c r="I21" i="9" s="1"/>
  <c r="E32" i="9"/>
  <c r="G32" i="9" s="1"/>
  <c r="H32" i="9" s="1"/>
  <c r="I32" i="9" s="1"/>
  <c r="E39" i="9"/>
  <c r="G39" i="9" s="1"/>
  <c r="H39" i="9" s="1"/>
  <c r="I39" i="9" s="1"/>
  <c r="E40" i="8"/>
  <c r="E12" i="9"/>
  <c r="G12" i="9" s="1"/>
  <c r="H12" i="9" s="1"/>
  <c r="I12" i="9" s="1"/>
  <c r="E24" i="9"/>
  <c r="E27" i="9"/>
  <c r="G27" i="9" s="1"/>
  <c r="H27" i="9" s="1"/>
  <c r="I27" i="9" s="1"/>
  <c r="E10" i="9"/>
  <c r="G10" i="9" s="1"/>
  <c r="H10" i="9" s="1"/>
  <c r="I10" i="9" s="1"/>
  <c r="E19" i="9"/>
  <c r="G19" i="9" s="1"/>
  <c r="H19" i="9" s="1"/>
  <c r="I19" i="9" s="1"/>
  <c r="E16" i="9"/>
  <c r="G16" i="9" s="1"/>
  <c r="H16" i="9" s="1"/>
  <c r="I16" i="9" s="1"/>
  <c r="E31" i="9"/>
  <c r="G31" i="9" s="1"/>
  <c r="H31" i="9" s="1"/>
  <c r="I31" i="9" s="1"/>
  <c r="E34" i="9"/>
  <c r="G34" i="9" s="1"/>
  <c r="H34" i="9" s="1"/>
  <c r="I34" i="9" s="1"/>
  <c r="E37" i="9"/>
  <c r="G37" i="9" s="1"/>
  <c r="H37" i="9" s="1"/>
  <c r="I37" i="9" s="1"/>
  <c r="E37" i="8"/>
  <c r="G37" i="8" s="1"/>
  <c r="H37" i="8" s="1"/>
  <c r="I37" i="8" s="1"/>
  <c r="E7" i="9"/>
  <c r="G7" i="9" s="1"/>
  <c r="H7" i="9" s="1"/>
  <c r="I7" i="9" s="1"/>
  <c r="E14" i="9"/>
  <c r="G14" i="9" s="1"/>
  <c r="H14" i="9" s="1"/>
  <c r="I14" i="9" s="1"/>
  <c r="E23" i="9"/>
  <c r="G23" i="9" s="1"/>
  <c r="H23" i="9" s="1"/>
  <c r="I23" i="9" s="1"/>
  <c r="E35" i="9"/>
  <c r="G35" i="9" s="1"/>
  <c r="H35" i="9" s="1"/>
  <c r="I35" i="9" s="1"/>
  <c r="E32" i="8"/>
  <c r="G32" i="8" s="1"/>
  <c r="H32" i="8" s="1"/>
  <c r="I32" i="8" s="1"/>
  <c r="E11" i="9"/>
  <c r="G11" i="9" s="1"/>
  <c r="H11" i="9" s="1"/>
  <c r="I11" i="9" s="1"/>
  <c r="E26" i="9"/>
  <c r="G26" i="9" s="1"/>
  <c r="H26" i="9" s="1"/>
  <c r="I26" i="9" s="1"/>
  <c r="E40" i="9"/>
  <c r="G40" i="9" s="1"/>
  <c r="H40" i="9" s="1"/>
  <c r="I40" i="9" s="1"/>
  <c r="E34" i="8"/>
  <c r="G34" i="8" s="1"/>
  <c r="H34" i="8" s="1"/>
  <c r="I34" i="8" s="1"/>
  <c r="E36" i="8"/>
  <c r="G36" i="8" s="1"/>
  <c r="H36" i="8" s="1"/>
  <c r="I36" i="8" s="1"/>
  <c r="E6" i="9"/>
  <c r="G6" i="9" s="1"/>
  <c r="H6" i="9" s="1"/>
  <c r="I6" i="9" s="1"/>
  <c r="E8" i="9"/>
  <c r="G8" i="9" s="1"/>
  <c r="H8" i="9" s="1"/>
  <c r="I8" i="9" s="1"/>
  <c r="E18" i="9"/>
  <c r="G18" i="9" s="1"/>
  <c r="H18" i="9" s="1"/>
  <c r="I18" i="9" s="1"/>
  <c r="E29" i="9"/>
  <c r="G29" i="9" s="1"/>
  <c r="H29" i="9" s="1"/>
  <c r="I29" i="9" s="1"/>
  <c r="K17" i="9" l="1"/>
  <c r="R5" i="9"/>
  <c r="O5" i="9"/>
  <c r="J6" i="9"/>
  <c r="L6" i="9" s="1"/>
  <c r="M6" i="9" s="1"/>
  <c r="K17" i="8"/>
  <c r="R5" i="8"/>
  <c r="O5" i="8"/>
  <c r="J6" i="8"/>
  <c r="L6" i="8" s="1"/>
  <c r="M6" i="8" s="1"/>
  <c r="O5" i="7"/>
  <c r="J6" i="7"/>
  <c r="L6" i="7" s="1"/>
  <c r="M6" i="7" s="1"/>
  <c r="K17" i="7"/>
  <c r="R5" i="7"/>
  <c r="G40" i="8"/>
  <c r="H40" i="8" s="1"/>
  <c r="I40" i="8" s="1"/>
  <c r="F19" i="11"/>
  <c r="C18" i="11"/>
  <c r="E16" i="11"/>
  <c r="B15" i="11"/>
  <c r="E19" i="11"/>
  <c r="B18" i="11"/>
  <c r="D16" i="11"/>
  <c r="D19" i="11"/>
  <c r="F17" i="11"/>
  <c r="C16" i="11"/>
  <c r="C19" i="11"/>
  <c r="E17" i="11"/>
  <c r="B16" i="11"/>
  <c r="B19" i="11"/>
  <c r="D17" i="11"/>
  <c r="F15" i="11"/>
  <c r="F18" i="11"/>
  <c r="C17" i="11"/>
  <c r="E15" i="11"/>
  <c r="E18" i="11"/>
  <c r="B17" i="11"/>
  <c r="D15" i="11"/>
  <c r="D18" i="11"/>
  <c r="F16" i="11"/>
  <c r="C15" i="11"/>
  <c r="R6" i="8" l="1"/>
  <c r="K18" i="8"/>
  <c r="J7" i="8"/>
  <c r="L7" i="8" s="1"/>
  <c r="M7" i="8" s="1"/>
  <c r="O6" i="8"/>
  <c r="R6" i="9"/>
  <c r="O6" i="9"/>
  <c r="K18" i="9"/>
  <c r="J7" i="9"/>
  <c r="L7" i="9" s="1"/>
  <c r="M7" i="9" s="1"/>
  <c r="K18" i="7"/>
  <c r="J7" i="7"/>
  <c r="L7" i="7" s="1"/>
  <c r="M7" i="7" s="1"/>
  <c r="R6" i="7"/>
  <c r="O6" i="7"/>
  <c r="S5" i="7"/>
  <c r="T5" i="7" s="1"/>
  <c r="S5" i="9"/>
  <c r="T5" i="9" s="1"/>
  <c r="S5" i="8"/>
  <c r="T5" i="8" s="1"/>
  <c r="R7" i="7" l="1"/>
  <c r="O7" i="7"/>
  <c r="K19" i="7"/>
  <c r="J8" i="7"/>
  <c r="L8" i="7" s="1"/>
  <c r="M8" i="7" s="1"/>
  <c r="S6" i="8"/>
  <c r="T6" i="8" s="1"/>
  <c r="O7" i="8"/>
  <c r="K19" i="8"/>
  <c r="R7" i="8"/>
  <c r="J8" i="8"/>
  <c r="L8" i="8" s="1"/>
  <c r="M8" i="8" s="1"/>
  <c r="S6" i="7"/>
  <c r="T6" i="7" s="1"/>
  <c r="S6" i="9"/>
  <c r="T6" i="9" s="1"/>
  <c r="O7" i="9"/>
  <c r="K19" i="9"/>
  <c r="J8" i="9"/>
  <c r="L8" i="9" s="1"/>
  <c r="M8" i="9" s="1"/>
  <c r="R7" i="9"/>
  <c r="S7" i="8" l="1"/>
  <c r="T7" i="8" s="1"/>
  <c r="R8" i="7"/>
  <c r="K20" i="7"/>
  <c r="O8" i="7"/>
  <c r="J9" i="7"/>
  <c r="L9" i="7" s="1"/>
  <c r="M9" i="7" s="1"/>
  <c r="R8" i="9"/>
  <c r="J9" i="9"/>
  <c r="L9" i="9" s="1"/>
  <c r="M9" i="9" s="1"/>
  <c r="O8" i="9"/>
  <c r="K20" i="9"/>
  <c r="J9" i="8"/>
  <c r="L9" i="8" s="1"/>
  <c r="M9" i="8" s="1"/>
  <c r="R8" i="8"/>
  <c r="K20" i="8"/>
  <c r="O8" i="8"/>
  <c r="S7" i="7"/>
  <c r="T7" i="7" s="1"/>
  <c r="S7" i="9"/>
  <c r="T7" i="9" s="1"/>
  <c r="R9" i="8" l="1"/>
  <c r="K21" i="8"/>
  <c r="O9" i="8"/>
  <c r="J10" i="8"/>
  <c r="L10" i="8" s="1"/>
  <c r="M10" i="8" s="1"/>
  <c r="S8" i="9"/>
  <c r="T8" i="9" s="1"/>
  <c r="S8" i="8"/>
  <c r="T8" i="8" s="1"/>
  <c r="K21" i="7"/>
  <c r="O9" i="7"/>
  <c r="J10" i="7"/>
  <c r="L10" i="7" s="1"/>
  <c r="M10" i="7" s="1"/>
  <c r="R9" i="7"/>
  <c r="K21" i="9"/>
  <c r="R9" i="9"/>
  <c r="O9" i="9"/>
  <c r="J10" i="9"/>
  <c r="L10" i="9" s="1"/>
  <c r="M10" i="9" s="1"/>
  <c r="T8" i="7"/>
  <c r="S8" i="7"/>
  <c r="S9" i="9" l="1"/>
  <c r="T9" i="9" s="1"/>
  <c r="R10" i="8"/>
  <c r="K22" i="8"/>
  <c r="J11" i="8"/>
  <c r="L11" i="8" s="1"/>
  <c r="M11" i="8" s="1"/>
  <c r="O10" i="8"/>
  <c r="J11" i="7"/>
  <c r="L11" i="7" s="1"/>
  <c r="M11" i="7" s="1"/>
  <c r="R10" i="7"/>
  <c r="K22" i="7"/>
  <c r="O10" i="7"/>
  <c r="T9" i="7"/>
  <c r="S9" i="7"/>
  <c r="T9" i="8"/>
  <c r="S9" i="8"/>
  <c r="R10" i="9"/>
  <c r="K22" i="9"/>
  <c r="O10" i="9"/>
  <c r="J11" i="9"/>
  <c r="L11" i="9" s="1"/>
  <c r="M11" i="9" s="1"/>
  <c r="K23" i="7" l="1"/>
  <c r="R11" i="7"/>
  <c r="O11" i="7"/>
  <c r="J12" i="7"/>
  <c r="L12" i="7" s="1"/>
  <c r="M12" i="7" s="1"/>
  <c r="S10" i="8"/>
  <c r="T10" i="8" s="1"/>
  <c r="O11" i="8"/>
  <c r="J12" i="8"/>
  <c r="L12" i="8" s="1"/>
  <c r="M12" i="8" s="1"/>
  <c r="K23" i="8"/>
  <c r="R11" i="8"/>
  <c r="S10" i="7"/>
  <c r="T10" i="7" s="1"/>
  <c r="O11" i="9"/>
  <c r="J12" i="9"/>
  <c r="L12" i="9" s="1"/>
  <c r="M12" i="9" s="1"/>
  <c r="R11" i="9"/>
  <c r="K23" i="9"/>
  <c r="S10" i="9"/>
  <c r="T10" i="9" s="1"/>
  <c r="R12" i="9" l="1"/>
  <c r="J13" i="9"/>
  <c r="L13" i="9" s="1"/>
  <c r="M13" i="9" s="1"/>
  <c r="K24" i="9"/>
  <c r="O12" i="9"/>
  <c r="R12" i="7"/>
  <c r="O12" i="7"/>
  <c r="J13" i="7"/>
  <c r="L13" i="7" s="1"/>
  <c r="M13" i="7" s="1"/>
  <c r="K24" i="7"/>
  <c r="S11" i="8"/>
  <c r="T11" i="8" s="1"/>
  <c r="S11" i="7"/>
  <c r="T11" i="7" s="1"/>
  <c r="S11" i="9"/>
  <c r="T11" i="9" s="1"/>
  <c r="J13" i="8"/>
  <c r="L13" i="8" s="1"/>
  <c r="M13" i="8" s="1"/>
  <c r="K24" i="8"/>
  <c r="R12" i="8"/>
  <c r="O12" i="8"/>
  <c r="O13" i="7" l="1"/>
  <c r="J14" i="7"/>
  <c r="L14" i="7" s="1"/>
  <c r="M14" i="7" s="1"/>
  <c r="K25" i="7"/>
  <c r="R13" i="7"/>
  <c r="S12" i="7"/>
  <c r="T12" i="7" s="1"/>
  <c r="S12" i="9"/>
  <c r="T12" i="9" s="1"/>
  <c r="K25" i="9"/>
  <c r="R13" i="9"/>
  <c r="O13" i="9"/>
  <c r="J14" i="9"/>
  <c r="L14" i="9" s="1"/>
  <c r="M14" i="9" s="1"/>
  <c r="S12" i="8"/>
  <c r="T12" i="8" s="1"/>
  <c r="K25" i="8"/>
  <c r="R13" i="8"/>
  <c r="O13" i="8"/>
  <c r="J14" i="8"/>
  <c r="L14" i="8" s="1"/>
  <c r="M14" i="8" s="1"/>
  <c r="R14" i="9" l="1"/>
  <c r="O14" i="9"/>
  <c r="J15" i="9"/>
  <c r="L15" i="9" s="1"/>
  <c r="M15" i="9" s="1"/>
  <c r="K26" i="9"/>
  <c r="K26" i="7"/>
  <c r="J15" i="7"/>
  <c r="L15" i="7" s="1"/>
  <c r="M15" i="7" s="1"/>
  <c r="R14" i="7"/>
  <c r="O14" i="7"/>
  <c r="S13" i="9"/>
  <c r="T13" i="9" s="1"/>
  <c r="R14" i="8"/>
  <c r="O14" i="8"/>
  <c r="K26" i="8"/>
  <c r="J15" i="8"/>
  <c r="L15" i="8" s="1"/>
  <c r="M15" i="8" s="1"/>
  <c r="S13" i="8"/>
  <c r="T13" i="8" s="1"/>
  <c r="S13" i="7"/>
  <c r="T13" i="7" s="1"/>
  <c r="S14" i="7" l="1"/>
  <c r="T14" i="7" s="1"/>
  <c r="O15" i="9"/>
  <c r="K27" i="9"/>
  <c r="J16" i="9"/>
  <c r="L16" i="9" s="1"/>
  <c r="M16" i="9" s="1"/>
  <c r="R15" i="9"/>
  <c r="R15" i="7"/>
  <c r="O15" i="7"/>
  <c r="K27" i="7"/>
  <c r="J16" i="7"/>
  <c r="L16" i="7" s="1"/>
  <c r="M16" i="7" s="1"/>
  <c r="S14" i="8"/>
  <c r="T14" i="8" s="1"/>
  <c r="S14" i="9"/>
  <c r="T14" i="9" s="1"/>
  <c r="O15" i="8"/>
  <c r="K27" i="8"/>
  <c r="J16" i="8"/>
  <c r="L16" i="8" s="1"/>
  <c r="M16" i="8" s="1"/>
  <c r="R15" i="8"/>
  <c r="S15" i="9" l="1"/>
  <c r="T15" i="9" s="1"/>
  <c r="T15" i="7"/>
  <c r="S15" i="7"/>
  <c r="R16" i="7"/>
  <c r="K28" i="7"/>
  <c r="O16" i="7"/>
  <c r="J17" i="7"/>
  <c r="L17" i="7" s="1"/>
  <c r="M17" i="7" s="1"/>
  <c r="S15" i="8"/>
  <c r="T15" i="8" s="1"/>
  <c r="R16" i="9"/>
  <c r="J17" i="9"/>
  <c r="L17" i="9" s="1"/>
  <c r="M17" i="9" s="1"/>
  <c r="K28" i="9"/>
  <c r="O16" i="9"/>
  <c r="J17" i="8"/>
  <c r="L17" i="8" s="1"/>
  <c r="M17" i="8" s="1"/>
  <c r="K28" i="8"/>
  <c r="R16" i="8"/>
  <c r="O16" i="8"/>
  <c r="K29" i="7" l="1"/>
  <c r="O17" i="7"/>
  <c r="J18" i="7"/>
  <c r="L18" i="7" s="1"/>
  <c r="M18" i="7" s="1"/>
  <c r="R17" i="7"/>
  <c r="R17" i="8"/>
  <c r="K29" i="8"/>
  <c r="O17" i="8"/>
  <c r="J18" i="8"/>
  <c r="L18" i="8" s="1"/>
  <c r="M18" i="8" s="1"/>
  <c r="E6" i="10"/>
  <c r="S16" i="7"/>
  <c r="T16" i="7" s="1"/>
  <c r="B6" i="10"/>
  <c r="E8" i="10"/>
  <c r="S16" i="9"/>
  <c r="T16" i="9" s="1"/>
  <c r="B8" i="10"/>
  <c r="K29" i="9"/>
  <c r="O17" i="9"/>
  <c r="R17" i="9"/>
  <c r="J18" i="9"/>
  <c r="L18" i="9" s="1"/>
  <c r="M18" i="9" s="1"/>
  <c r="E7" i="10"/>
  <c r="S16" i="8"/>
  <c r="T16" i="8" s="1"/>
  <c r="B7" i="10"/>
  <c r="S17" i="8" l="1"/>
  <c r="T17" i="8" s="1"/>
  <c r="R18" i="7"/>
  <c r="K30" i="7"/>
  <c r="O18" i="7"/>
  <c r="J19" i="7"/>
  <c r="L19" i="7" s="1"/>
  <c r="M19" i="7" s="1"/>
  <c r="K30" i="8"/>
  <c r="O18" i="8"/>
  <c r="J19" i="8"/>
  <c r="L19" i="8" s="1"/>
  <c r="M19" i="8" s="1"/>
  <c r="R18" i="8"/>
  <c r="S17" i="9"/>
  <c r="T17" i="9" s="1"/>
  <c r="T17" i="7"/>
  <c r="S17" i="7"/>
  <c r="K30" i="9"/>
  <c r="O18" i="9"/>
  <c r="J19" i="9"/>
  <c r="L19" i="9" s="1"/>
  <c r="M19" i="9" s="1"/>
  <c r="R18" i="9"/>
  <c r="K31" i="7" l="1"/>
  <c r="O19" i="7"/>
  <c r="J20" i="7"/>
  <c r="L20" i="7" s="1"/>
  <c r="M20" i="7" s="1"/>
  <c r="R19" i="7"/>
  <c r="S18" i="7"/>
  <c r="T18" i="7" s="1"/>
  <c r="S18" i="9"/>
  <c r="T18" i="9" s="1"/>
  <c r="J20" i="9"/>
  <c r="L20" i="9" s="1"/>
  <c r="M20" i="9" s="1"/>
  <c r="R19" i="9"/>
  <c r="K31" i="9"/>
  <c r="O19" i="9"/>
  <c r="J20" i="8"/>
  <c r="L20" i="8" s="1"/>
  <c r="M20" i="8" s="1"/>
  <c r="K31" i="8"/>
  <c r="R19" i="8"/>
  <c r="O19" i="8"/>
  <c r="S18" i="8"/>
  <c r="T18" i="8" s="1"/>
  <c r="S19" i="8" l="1"/>
  <c r="T19" i="8" s="1"/>
  <c r="J21" i="7"/>
  <c r="L21" i="7" s="1"/>
  <c r="M21" i="7" s="1"/>
  <c r="R20" i="7"/>
  <c r="K32" i="7"/>
  <c r="O20" i="7"/>
  <c r="S19" i="7"/>
  <c r="T19" i="7" s="1"/>
  <c r="K32" i="8"/>
  <c r="R20" i="8"/>
  <c r="O20" i="8"/>
  <c r="J21" i="8"/>
  <c r="L21" i="8" s="1"/>
  <c r="M21" i="8" s="1"/>
  <c r="S19" i="9"/>
  <c r="T19" i="9" s="1"/>
  <c r="R20" i="9"/>
  <c r="K32" i="9"/>
  <c r="O20" i="9"/>
  <c r="J21" i="9"/>
  <c r="L21" i="9" s="1"/>
  <c r="M21" i="9" s="1"/>
  <c r="S20" i="7" l="1"/>
  <c r="T20" i="7" s="1"/>
  <c r="K33" i="9"/>
  <c r="O21" i="9"/>
  <c r="J22" i="9"/>
  <c r="L22" i="9" s="1"/>
  <c r="M22" i="9" s="1"/>
  <c r="R21" i="9"/>
  <c r="S20" i="8"/>
  <c r="T20" i="8" s="1"/>
  <c r="R21" i="7"/>
  <c r="K33" i="7"/>
  <c r="O21" i="7"/>
  <c r="J22" i="7"/>
  <c r="L22" i="7" s="1"/>
  <c r="M22" i="7" s="1"/>
  <c r="S20" i="9"/>
  <c r="T20" i="9" s="1"/>
  <c r="O21" i="8"/>
  <c r="K33" i="8"/>
  <c r="J22" i="8"/>
  <c r="L22" i="8" s="1"/>
  <c r="M22" i="8" s="1"/>
  <c r="R21" i="8"/>
  <c r="S21" i="8" l="1"/>
  <c r="T21" i="8" s="1"/>
  <c r="R22" i="9"/>
  <c r="K34" i="9"/>
  <c r="O22" i="9"/>
  <c r="J23" i="9"/>
  <c r="L23" i="9" s="1"/>
  <c r="M23" i="9" s="1"/>
  <c r="S21" i="9"/>
  <c r="T21" i="9" s="1"/>
  <c r="O22" i="7"/>
  <c r="K34" i="7"/>
  <c r="J23" i="7"/>
  <c r="L23" i="7" s="1"/>
  <c r="M23" i="7" s="1"/>
  <c r="R22" i="7"/>
  <c r="S21" i="7"/>
  <c r="T21" i="7"/>
  <c r="K34" i="8"/>
  <c r="R22" i="8"/>
  <c r="O22" i="8"/>
  <c r="J23" i="8"/>
  <c r="L23" i="8" s="1"/>
  <c r="M23" i="8" s="1"/>
  <c r="J24" i="9" l="1"/>
  <c r="L24" i="9" s="1"/>
  <c r="M24" i="9" s="1"/>
  <c r="K35" i="9"/>
  <c r="O23" i="9"/>
  <c r="R23" i="9"/>
  <c r="S22" i="9"/>
  <c r="T22" i="9" s="1"/>
  <c r="K35" i="8"/>
  <c r="O23" i="8"/>
  <c r="J24" i="8"/>
  <c r="L24" i="8" s="1"/>
  <c r="M24" i="8" s="1"/>
  <c r="R23" i="8"/>
  <c r="J24" i="7"/>
  <c r="L24" i="7" s="1"/>
  <c r="M24" i="7" s="1"/>
  <c r="R23" i="7"/>
  <c r="K35" i="7"/>
  <c r="O23" i="7"/>
  <c r="S22" i="8"/>
  <c r="T22" i="8" s="1"/>
  <c r="S22" i="7"/>
  <c r="T22" i="7" s="1"/>
  <c r="J25" i="8" l="1"/>
  <c r="L25" i="8" s="1"/>
  <c r="M25" i="8" s="1"/>
  <c r="K36" i="8"/>
  <c r="R24" i="8"/>
  <c r="O24" i="8"/>
  <c r="S23" i="8"/>
  <c r="T23" i="8" s="1"/>
  <c r="S23" i="7"/>
  <c r="T23" i="7" s="1"/>
  <c r="K36" i="7"/>
  <c r="R24" i="7"/>
  <c r="O24" i="7"/>
  <c r="J25" i="7"/>
  <c r="L25" i="7" s="1"/>
  <c r="M25" i="7" s="1"/>
  <c r="S23" i="9"/>
  <c r="T23" i="9" s="1"/>
  <c r="R24" i="9"/>
  <c r="J25" i="9"/>
  <c r="L25" i="9" s="1"/>
  <c r="M25" i="9" s="1"/>
  <c r="K36" i="9"/>
  <c r="O24" i="9"/>
  <c r="O25" i="7" l="1"/>
  <c r="K37" i="7"/>
  <c r="J26" i="7"/>
  <c r="L26" i="7" s="1"/>
  <c r="M26" i="7" s="1"/>
  <c r="R25" i="7"/>
  <c r="T24" i="8"/>
  <c r="S24" i="8"/>
  <c r="S24" i="9"/>
  <c r="T24" i="9" s="1"/>
  <c r="K37" i="9"/>
  <c r="O25" i="9"/>
  <c r="R25" i="9"/>
  <c r="J26" i="9"/>
  <c r="L26" i="9" s="1"/>
  <c r="M26" i="9" s="1"/>
  <c r="S24" i="7"/>
  <c r="T24" i="7" s="1"/>
  <c r="R25" i="8"/>
  <c r="O25" i="8"/>
  <c r="K37" i="8"/>
  <c r="J26" i="8"/>
  <c r="L26" i="8" s="1"/>
  <c r="M26" i="8" s="1"/>
  <c r="S25" i="8" l="1"/>
  <c r="T25" i="8"/>
  <c r="K38" i="9"/>
  <c r="O26" i="9"/>
  <c r="J27" i="9"/>
  <c r="L27" i="9" s="1"/>
  <c r="M27" i="9" s="1"/>
  <c r="R26" i="9"/>
  <c r="K38" i="7"/>
  <c r="R26" i="7"/>
  <c r="O26" i="7"/>
  <c r="J27" i="7"/>
  <c r="L27" i="7" s="1"/>
  <c r="M27" i="7" s="1"/>
  <c r="K38" i="8"/>
  <c r="O26" i="8"/>
  <c r="J27" i="8"/>
  <c r="L27" i="8" s="1"/>
  <c r="M27" i="8" s="1"/>
  <c r="R26" i="8"/>
  <c r="S25" i="9"/>
  <c r="T25" i="9" s="1"/>
  <c r="S25" i="7"/>
  <c r="T25" i="7" s="1"/>
  <c r="S26" i="9" l="1"/>
  <c r="T26" i="9" s="1"/>
  <c r="R27" i="8"/>
  <c r="K39" i="8"/>
  <c r="J28" i="8"/>
  <c r="L28" i="8" s="1"/>
  <c r="M28" i="8" s="1"/>
  <c r="O27" i="8"/>
  <c r="S26" i="8"/>
  <c r="T26" i="8" s="1"/>
  <c r="K39" i="9"/>
  <c r="J28" i="9"/>
  <c r="L28" i="9" s="1"/>
  <c r="M28" i="9" s="1"/>
  <c r="R27" i="9"/>
  <c r="O27" i="9"/>
  <c r="K39" i="7"/>
  <c r="O27" i="7"/>
  <c r="J28" i="7"/>
  <c r="L28" i="7" s="1"/>
  <c r="M28" i="7" s="1"/>
  <c r="R27" i="7"/>
  <c r="S26" i="7"/>
  <c r="T26" i="7" s="1"/>
  <c r="K40" i="8" l="1"/>
  <c r="O28" i="8"/>
  <c r="J29" i="8"/>
  <c r="L29" i="8" s="1"/>
  <c r="M29" i="8" s="1"/>
  <c r="R28" i="8"/>
  <c r="K40" i="7"/>
  <c r="J29" i="7"/>
  <c r="L29" i="7" s="1"/>
  <c r="M29" i="7" s="1"/>
  <c r="R28" i="7"/>
  <c r="O28" i="7"/>
  <c r="S27" i="7"/>
  <c r="T27" i="7" s="1"/>
  <c r="S27" i="8"/>
  <c r="T27" i="8" s="1"/>
  <c r="S27" i="9"/>
  <c r="T27" i="9" s="1"/>
  <c r="R28" i="9"/>
  <c r="K40" i="9"/>
  <c r="O28" i="9"/>
  <c r="J29" i="9"/>
  <c r="L29" i="9" s="1"/>
  <c r="M29" i="9" s="1"/>
  <c r="F6" i="10" l="1"/>
  <c r="S28" i="7"/>
  <c r="T28" i="7" s="1"/>
  <c r="C6" i="10"/>
  <c r="O29" i="8"/>
  <c r="J30" i="8"/>
  <c r="L30" i="8" s="1"/>
  <c r="M30" i="8" s="1"/>
  <c r="R29" i="8"/>
  <c r="F7" i="10"/>
  <c r="T28" i="8"/>
  <c r="S28" i="8"/>
  <c r="C7" i="10"/>
  <c r="R29" i="7"/>
  <c r="O29" i="7"/>
  <c r="J30" i="7"/>
  <c r="L30" i="7" s="1"/>
  <c r="M30" i="7" s="1"/>
  <c r="O29" i="9"/>
  <c r="J30" i="9"/>
  <c r="L30" i="9" s="1"/>
  <c r="M30" i="9" s="1"/>
  <c r="R29" i="9"/>
  <c r="F8" i="10"/>
  <c r="S28" i="9"/>
  <c r="T28" i="9" s="1"/>
  <c r="C8" i="10"/>
  <c r="R30" i="9" l="1"/>
  <c r="J31" i="9"/>
  <c r="L31" i="9" s="1"/>
  <c r="M31" i="9" s="1"/>
  <c r="O30" i="9"/>
  <c r="S29" i="9"/>
  <c r="T29" i="9" s="1"/>
  <c r="O30" i="8"/>
  <c r="J31" i="8"/>
  <c r="L31" i="8" s="1"/>
  <c r="M31" i="8" s="1"/>
  <c r="R30" i="8"/>
  <c r="S29" i="8"/>
  <c r="O30" i="7"/>
  <c r="J31" i="7"/>
  <c r="L31" i="7" s="1"/>
  <c r="M31" i="7" s="1"/>
  <c r="R30" i="7"/>
  <c r="S29" i="7"/>
  <c r="T29" i="7"/>
  <c r="S30" i="8" l="1"/>
  <c r="T30" i="8" s="1"/>
  <c r="J32" i="7"/>
  <c r="L32" i="7" s="1"/>
  <c r="M32" i="7" s="1"/>
  <c r="R31" i="7"/>
  <c r="O31" i="7"/>
  <c r="R31" i="8"/>
  <c r="J32" i="8"/>
  <c r="L32" i="8" s="1"/>
  <c r="M32" i="8" s="1"/>
  <c r="O31" i="8"/>
  <c r="S30" i="9"/>
  <c r="J32" i="9"/>
  <c r="L32" i="9" s="1"/>
  <c r="M32" i="9" s="1"/>
  <c r="O31" i="9"/>
  <c r="R31" i="9"/>
  <c r="T30" i="7"/>
  <c r="S30" i="7"/>
  <c r="T29" i="8"/>
  <c r="S31" i="9" l="1"/>
  <c r="S31" i="7"/>
  <c r="T31" i="7" s="1"/>
  <c r="J33" i="8"/>
  <c r="L33" i="8" s="1"/>
  <c r="M33" i="8" s="1"/>
  <c r="R32" i="8"/>
  <c r="O32" i="8"/>
  <c r="R32" i="7"/>
  <c r="O32" i="7"/>
  <c r="J33" i="7"/>
  <c r="L33" i="7" s="1"/>
  <c r="M33" i="7" s="1"/>
  <c r="R32" i="9"/>
  <c r="J33" i="9"/>
  <c r="L33" i="9" s="1"/>
  <c r="M33" i="9" s="1"/>
  <c r="O32" i="9"/>
  <c r="T30" i="9"/>
  <c r="S31" i="8"/>
  <c r="S32" i="9" l="1"/>
  <c r="T32" i="9" s="1"/>
  <c r="R33" i="8"/>
  <c r="J34" i="8"/>
  <c r="L34" i="8" s="1"/>
  <c r="M34" i="8" s="1"/>
  <c r="O33" i="8"/>
  <c r="S32" i="7"/>
  <c r="T32" i="7" s="1"/>
  <c r="O33" i="9"/>
  <c r="J34" i="9"/>
  <c r="L34" i="9" s="1"/>
  <c r="M34" i="9" s="1"/>
  <c r="R33" i="9"/>
  <c r="J34" i="7"/>
  <c r="L34" i="7" s="1"/>
  <c r="M34" i="7" s="1"/>
  <c r="O33" i="7"/>
  <c r="R33" i="7"/>
  <c r="T31" i="9"/>
  <c r="T31" i="8"/>
  <c r="S32" i="8"/>
  <c r="T32" i="8" s="1"/>
  <c r="S33" i="8" l="1"/>
  <c r="T33" i="8" s="1"/>
  <c r="O34" i="8"/>
  <c r="J35" i="8"/>
  <c r="L35" i="8" s="1"/>
  <c r="M35" i="8" s="1"/>
  <c r="R34" i="8"/>
  <c r="S33" i="7"/>
  <c r="T33" i="7" s="1"/>
  <c r="R34" i="9"/>
  <c r="O34" i="9"/>
  <c r="J35" i="9"/>
  <c r="L35" i="9" s="1"/>
  <c r="M35" i="9" s="1"/>
  <c r="O34" i="7"/>
  <c r="R34" i="7"/>
  <c r="J35" i="7"/>
  <c r="L35" i="7" s="1"/>
  <c r="M35" i="7" s="1"/>
  <c r="S33" i="9"/>
  <c r="T33" i="9" s="1"/>
  <c r="S34" i="7" l="1"/>
  <c r="T34" i="7" s="1"/>
  <c r="S34" i="8"/>
  <c r="T34" i="8" s="1"/>
  <c r="O35" i="7"/>
  <c r="J36" i="7"/>
  <c r="L36" i="7" s="1"/>
  <c r="M36" i="7" s="1"/>
  <c r="R35" i="7"/>
  <c r="O35" i="9"/>
  <c r="J36" i="9"/>
  <c r="L36" i="9" s="1"/>
  <c r="M36" i="9" s="1"/>
  <c r="R35" i="9"/>
  <c r="R35" i="8"/>
  <c r="O35" i="8"/>
  <c r="J36" i="8"/>
  <c r="L36" i="8" s="1"/>
  <c r="M36" i="8" s="1"/>
  <c r="S34" i="9"/>
  <c r="T34" i="9" s="1"/>
  <c r="J37" i="8" l="1"/>
  <c r="L37" i="8" s="1"/>
  <c r="M37" i="8" s="1"/>
  <c r="O36" i="8"/>
  <c r="R36" i="8"/>
  <c r="S35" i="8"/>
  <c r="T35" i="8" s="1"/>
  <c r="S35" i="9"/>
  <c r="T35" i="9" s="1"/>
  <c r="S35" i="7"/>
  <c r="T35" i="7" s="1"/>
  <c r="R36" i="7"/>
  <c r="J37" i="7"/>
  <c r="L37" i="7" s="1"/>
  <c r="M37" i="7" s="1"/>
  <c r="O36" i="7"/>
  <c r="J37" i="9"/>
  <c r="L37" i="9" s="1"/>
  <c r="M37" i="9" s="1"/>
  <c r="R36" i="9"/>
  <c r="O36" i="9"/>
  <c r="S36" i="9" l="1"/>
  <c r="T36" i="9" s="1"/>
  <c r="R37" i="9"/>
  <c r="O37" i="9"/>
  <c r="J38" i="9"/>
  <c r="L38" i="9" s="1"/>
  <c r="M38" i="9" s="1"/>
  <c r="T36" i="7"/>
  <c r="S36" i="7"/>
  <c r="J38" i="7"/>
  <c r="L38" i="7" s="1"/>
  <c r="M38" i="7" s="1"/>
  <c r="R37" i="7"/>
  <c r="O37" i="7"/>
  <c r="S36" i="8"/>
  <c r="T36" i="8" s="1"/>
  <c r="R37" i="8"/>
  <c r="J38" i="8"/>
  <c r="L38" i="8" s="1"/>
  <c r="M38" i="8" s="1"/>
  <c r="O37" i="8"/>
  <c r="O38" i="9" l="1"/>
  <c r="J39" i="9"/>
  <c r="L39" i="9" s="1"/>
  <c r="M39" i="9" s="1"/>
  <c r="R38" i="9"/>
  <c r="T37" i="8"/>
  <c r="S37" i="8"/>
  <c r="R38" i="7"/>
  <c r="J39" i="7"/>
  <c r="L39" i="7" s="1"/>
  <c r="M39" i="7" s="1"/>
  <c r="O38" i="7"/>
  <c r="O38" i="8"/>
  <c r="R38" i="8"/>
  <c r="J39" i="8"/>
  <c r="L39" i="8" s="1"/>
  <c r="M39" i="8" s="1"/>
  <c r="S37" i="9"/>
  <c r="T37" i="9"/>
  <c r="S37" i="7"/>
  <c r="T37" i="7" s="1"/>
  <c r="O39" i="7" l="1"/>
  <c r="R39" i="7"/>
  <c r="J40" i="7"/>
  <c r="L40" i="7" s="1"/>
  <c r="M40" i="7" s="1"/>
  <c r="S38" i="7"/>
  <c r="T38" i="7" s="1"/>
  <c r="O39" i="8"/>
  <c r="R39" i="8"/>
  <c r="J40" i="8"/>
  <c r="L40" i="8" s="1"/>
  <c r="M40" i="8" s="1"/>
  <c r="J40" i="9"/>
  <c r="L40" i="9" s="1"/>
  <c r="M40" i="9" s="1"/>
  <c r="R39" i="9"/>
  <c r="O39" i="9"/>
  <c r="S38" i="8"/>
  <c r="T38" i="8"/>
  <c r="S38" i="9"/>
  <c r="T38" i="9" s="1"/>
  <c r="S39" i="9" l="1"/>
  <c r="T39" i="9" s="1"/>
  <c r="I7" i="10"/>
  <c r="R40" i="8"/>
  <c r="O40" i="8"/>
  <c r="D6" i="1"/>
  <c r="S39" i="8"/>
  <c r="T39" i="8" s="1"/>
  <c r="I6" i="10"/>
  <c r="O40" i="7"/>
  <c r="R40" i="7"/>
  <c r="R40" i="9"/>
  <c r="O40" i="9"/>
  <c r="I8" i="10"/>
  <c r="S39" i="7"/>
  <c r="T39" i="7" s="1"/>
  <c r="G7" i="10" l="1"/>
  <c r="A6" i="1" s="1"/>
  <c r="S40" i="8"/>
  <c r="T40" i="8" s="1"/>
  <c r="J6" i="1"/>
  <c r="D7" i="10"/>
  <c r="G8" i="10"/>
  <c r="S40" i="9"/>
  <c r="H8" i="10" s="1"/>
  <c r="D8" i="10"/>
  <c r="G6" i="10"/>
  <c r="S40" i="7"/>
  <c r="H6" i="10" s="1"/>
  <c r="D6" i="10"/>
  <c r="T40" i="7" l="1"/>
  <c r="T40" i="9"/>
  <c r="G6" i="1"/>
  <c r="H7" i="10"/>
</calcChain>
</file>

<file path=xl/sharedStrings.xml><?xml version="1.0" encoding="utf-8"?>
<sst xmlns="http://schemas.openxmlformats.org/spreadsheetml/2006/main" count="313" uniqueCount="226">
  <si>
    <t>Quacked — Executive Dashboard</t>
  </si>
  <si>
    <t>Cohort- and seasonality-based financial model — illustrative planning scenarios for funding applications and strategic planning, not GAAP forecasts.</t>
  </si>
  <si>
    <t>Key Metrics — Base Case</t>
  </si>
  <si>
    <t>Year 3 Exit ARR</t>
  </si>
  <si>
    <t>Peak Monthly Subscribers</t>
  </si>
  <si>
    <t>Blended 3-Yr Gross Margin</t>
  </si>
  <si>
    <t>3-Year Cumulative Revenue</t>
  </si>
  <si>
    <t>All three scenarios (Conservative / Base / Expansion) are detailed on the Scenario Summary tab and their own Forecast tabs.</t>
  </si>
  <si>
    <t>Monthly Active Subscribers — Base Case</t>
  </si>
  <si>
    <t>Exit ARR by Scenario</t>
  </si>
  <si>
    <t>See Product Expansion tab for the illustrative revenue-by-module breakdown (Expansion scenario, future) and Seasonality tab for the recruiting-calendar chart behind the monthly shape above.</t>
  </si>
  <si>
    <t>Quacked Financial Model</t>
  </si>
  <si>
    <t>Cohort- and seasonality-based revenue model — prepared for funding applications and strategic planning (not GAAP reporting)</t>
  </si>
  <si>
    <t>What changed from the prior model</t>
  </si>
  <si>
    <t>The previous model assumed flat monthly recurring revenue across 12 months, like a generic SaaS product. This version is rebuilt around the actual consulting recruiting calendar: users subscribe for roughly 2–4 months around a recruiting wave (not a full year), new cohorts arrive every year, and growth is driven by explicit, traceable levers — university expansion, referrals, brand recognition, and (in later phases) product expansion — rather than an assumed growth rate.</t>
  </si>
  <si>
    <t>How to navigate this workbook</t>
  </si>
  <si>
    <t>Dashboard</t>
  </si>
  <si>
    <t>Executive summary — KPIs and headline charts (Base case).</t>
  </si>
  <si>
    <t>Assumptions</t>
  </si>
  <si>
    <t>All editable model inputs, by scenario (Conservative / Base / Expansion).</t>
  </si>
  <si>
    <t>Seasonality</t>
  </si>
  <si>
    <t>Monthly recruiting-cycle index driving acquisition timing.</t>
  </si>
  <si>
    <t>Market Expansion</t>
  </si>
  <si>
    <t>TAM/SAM/SOM by phase (UGA → Southeast → National → Adjacent categories).</t>
  </si>
  <si>
    <t>Product Expansion</t>
  </si>
  <si>
    <t>Future modules &amp; ARPU uplift — Expansion scenario only, clearly labeled.</t>
  </si>
  <si>
    <t>Forecast tabs (x3)</t>
  </si>
  <si>
    <t>36-month cohort build per scenario: leads → free → paid → active → churn → referral.</t>
  </si>
  <si>
    <t>Scenario Summary</t>
  </si>
  <si>
    <t>Annual roll-up and comparison across all three scenarios.</t>
  </si>
  <si>
    <t>Sensitivity</t>
  </si>
  <si>
    <t>Year-3 ARR sensitivity to conversion rate and churn (Base case).</t>
  </si>
  <si>
    <t>Color legend</t>
  </si>
  <si>
    <t>Legend:</t>
  </si>
  <si>
    <t>Blue text</t>
  </si>
  <si>
    <t>— Editable input</t>
  </si>
  <si>
    <t>Black text</t>
  </si>
  <si>
    <t>— Calculated formula</t>
  </si>
  <si>
    <t>Green text</t>
  </si>
  <si>
    <t>— Link to another sheet</t>
  </si>
  <si>
    <t>Every subscriber and revenue figure in this model is traceable to an explicit assumption: seasonality, addressable-market phase, awareness/conversion rate, churn, referral coefficient, repeat-user rate, or (Expansion only) product-expansion ARPU uplift. Nothing is hardcoded growth.</t>
  </si>
  <si>
    <t>Model Assumptions</t>
  </si>
  <si>
    <t>All editable drivers. Blue = input. Values differ by scenario where noted.</t>
  </si>
  <si>
    <t>Model Horizon</t>
  </si>
  <si>
    <t>Model start month (Month 1)</t>
  </si>
  <si>
    <t>Aligned to fall internship-recruiting cycle kickoff.</t>
  </si>
  <si>
    <t>Forecast horizon (months)</t>
  </si>
  <si>
    <t>Pricing</t>
  </si>
  <si>
    <t>Driver</t>
  </si>
  <si>
    <t>Conservative</t>
  </si>
  <si>
    <t>Base</t>
  </si>
  <si>
    <t>Expansion</t>
  </si>
  <si>
    <t>Notes</t>
  </si>
  <si>
    <t>Starting monthly price ($)</t>
  </si>
  <si>
    <t>Current Big Duck tier price across all scenarios.</t>
  </si>
  <si>
    <t>Product-expansion launch month (# )</t>
  </si>
  <si>
    <t>99 = not reached in this scenario within the 36-mo horizon. Expansion: start of Year 2 H2.</t>
  </si>
  <si>
    <t>Post-expansion monthly price ($)</t>
  </si>
  <si>
    <t>Expansion only — reflects added modules (qualitative practice, frameworks, exhibits, AI coaching). See Product Expansion tab.</t>
  </si>
  <si>
    <t>Acquisition Funnel (Lead → Free → Paid)</t>
  </si>
  <si>
    <t>Starting monthly awareness rate (% of addressable pool who become a lead)</t>
  </si>
  <si>
    <t>Drives Leads = Addressable Pool × Awareness Rate × Seasonality.</t>
  </si>
  <si>
    <t>Annual awareness growth (brand recognition / word of mouth)</t>
  </si>
  <si>
    <t>Compounds awareness rate over the 36-month horizon.</t>
  </si>
  <si>
    <t>Lead → Free signup rate</t>
  </si>
  <si>
    <t>Share of leads who create a free account.</t>
  </si>
  <si>
    <t>Free → Paid conversion rate</t>
  </si>
  <si>
    <t>Share of free users who subscribe.</t>
  </si>
  <si>
    <t>Retention &amp; Growth Loops</t>
  </si>
  <si>
    <t>Monthly churn rate</t>
  </si>
  <si>
    <t>Implies avg. subscription length of ~2.6 / ~3.0 / ~3.3 months — consistent with a 2–4 month recruiting-cycle subscription, not a 12-month SaaS contract.</t>
  </si>
  <si>
    <t>Referral coefficient (new paid subs / active sub / month)</t>
  </si>
  <si>
    <t>Word-of-mouth loop: existing active subscribers generate additional paid subs each month.</t>
  </si>
  <si>
    <t>Repeat / returning-user rate (annual)</t>
  </si>
  <si>
    <t>Share of subs active 12 months prior who re-subscribe for the next recruiting cycle (e.g., internship → full-time).</t>
  </si>
  <si>
    <t>Usage &amp; Cost (Gross Margin Drivers)</t>
  </si>
  <si>
    <t>Avg. completed cases / active user / month</t>
  </si>
  <si>
    <t>Expansion is higher — more modules (frameworks, exhibits, AI coaching) each generate usage.</t>
  </si>
  <si>
    <t>Cost per completed case ($)</t>
  </si>
  <si>
    <t>Current beta Anthropic API cost assumption — unchanged from prior model.</t>
  </si>
  <si>
    <t>All dollar figures are illustrative planning assumptions for internal strategy and funding-application use, not GAAP-basis forecasts.</t>
  </si>
  <si>
    <t>Seasonal Recruiting Calendar</t>
  </si>
  <si>
    <t>Monthly index of new-subscriber acquisition intensity, mapped to the consulting recruiting cycle.</t>
  </si>
  <si>
    <t>Recruiting Cycle</t>
  </si>
  <si>
    <t>Summer prep (Jun–Aug) builds toward Fall internship recruiting (Sep–Nov, the annual peak) → a Winter lull (Dec–Jan) → Spring recruiting (Feb–Apr, a secondary peak for regional/Tier 2/off-cycle roles) → Graduation (May) → the next incoming cohort begins the cycle again.</t>
  </si>
  <si>
    <t>Month #</t>
  </si>
  <si>
    <t>Calendar Month</t>
  </si>
  <si>
    <t>Recruiting Season</t>
  </si>
  <si>
    <t>Raw Index</t>
  </si>
  <si>
    <t>Normalized Multiplier</t>
  </si>
  <si>
    <t>January</t>
  </si>
  <si>
    <t>Winter Recruiting</t>
  </si>
  <si>
    <t>February</t>
  </si>
  <si>
    <t>Spring Recruiting</t>
  </si>
  <si>
    <t>March</t>
  </si>
  <si>
    <t>Spring Recruiting (peak)</t>
  </si>
  <si>
    <t>April</t>
  </si>
  <si>
    <t>May</t>
  </si>
  <si>
    <t>Graduation Lull</t>
  </si>
  <si>
    <t>June</t>
  </si>
  <si>
    <t>Summer Prep Begins</t>
  </si>
  <si>
    <t>July</t>
  </si>
  <si>
    <t>Summer Prep</t>
  </si>
  <si>
    <t>August</t>
  </si>
  <si>
    <t>Summer Prep (ramp)</t>
  </si>
  <si>
    <t>September</t>
  </si>
  <si>
    <t>Fall Recruiting (peak)</t>
  </si>
  <si>
    <t>October</t>
  </si>
  <si>
    <t>Fall Recruiting</t>
  </si>
  <si>
    <t>November</t>
  </si>
  <si>
    <t>Fall Recruiting (wraps)</t>
  </si>
  <si>
    <t>December</t>
  </si>
  <si>
    <t>Winter Lull</t>
  </si>
  <si>
    <t>Normalized Multiplier = Raw Index ÷ average index (so the annual average multiplier is exactly 1.00×). This is what actually feeds the forecast — it isolates the *timing* effect of seasonality from the *level* set by the awareness-rate assumption.</t>
  </si>
  <si>
    <t>Market Expansion — Geographic &amp; Category Phases</t>
  </si>
  <si>
    <t>Replaces a single static TAM/SAM/SOM with a phased rollout. Each phase adds to the addressable candidate pool at a scenario-specific start month.</t>
  </si>
  <si>
    <t>Consulting-Focused Phases (Phases 1–4)</t>
  </si>
  <si>
    <t>Phase</t>
  </si>
  <si>
    <t>Market</t>
  </si>
  <si>
    <t>Description</t>
  </si>
  <si>
    <t>Pool Added</t>
  </si>
  <si>
    <t>Cumulative Pool</t>
  </si>
  <si>
    <t>Start — Conservative</t>
  </si>
  <si>
    <t>Start — Base</t>
  </si>
  <si>
    <t>Start — Expansion</t>
  </si>
  <si>
    <t>Phase 1</t>
  </si>
  <si>
    <t>UGA</t>
  </si>
  <si>
    <t>University of Georgia consulting candidates</t>
  </si>
  <si>
    <t>Terry consulting orgs, recruiting records, career-center estimates.</t>
  </si>
  <si>
    <t>Phase 2</t>
  </si>
  <si>
    <t>SEC + Southeast</t>
  </si>
  <si>
    <t>SEC and target Southeastern university consulting clubs</t>
  </si>
  <si>
    <t>Aggregate consulting clubs across target Southeastern universities.</t>
  </si>
  <si>
    <t>Phase 3</t>
  </si>
  <si>
    <t>Top National Schools</t>
  </si>
  <si>
    <t>Top consulting-recruiting schools nationally</t>
  </si>
  <si>
    <t>Universities with consistent MBB/Tier 2 recruiting presence.</t>
  </si>
  <si>
    <t>Phase 4</t>
  </si>
  <si>
    <t>National Market</t>
  </si>
  <si>
    <t>Full U.S. consulting-recruiting candidate pool</t>
  </si>
  <si>
    <t>Rounds out to ~50,000 total U.S. consulting candidates (matches prior TAM).</t>
  </si>
  <si>
    <t>Start month = model month # (1 = Sep-2026) at which this phase's pool becomes addressable. 99 = not reached within the 36-month horizon for that scenario.</t>
  </si>
  <si>
    <t>Adjacent Recruiting Categories (Phase 5 — Expansion scenario only)</t>
  </si>
  <si>
    <t>Investment banking, private equity, corporate strategy, product management, and general business recruiting. Kept structurally separate from the consulting-focused pool above — this is a distinct future market, not blended into the core consulting TAM, and only appears in the Expansion scenario.</t>
  </si>
  <si>
    <t>Phase 5</t>
  </si>
  <si>
    <t>Adjacent Categories</t>
  </si>
  <si>
    <t>IB / PE / corporate strategy / PM / general business recruiting</t>
  </si>
  <si>
    <t>n/a — separate track</t>
  </si>
  <si>
    <t>Illustrative pool size; not validated. Requires product breadth beyond quant case prep before pursuing.</t>
  </si>
  <si>
    <t>Cumulative Addressable Pool Over Time (illustrative, by scenario)</t>
  </si>
  <si>
    <t>Pool for a given month = sum of every phase whose scenario-specific start month has been reached, including Phase 5 (Adjacent Categories) for the Expansion scenario only.</t>
  </si>
  <si>
    <t>Product Expansion Roadmap (Future Scenario)</t>
  </si>
  <si>
    <t>Illustrative only — these modules are not current revenue streams. They only appear in the Expansion scenario, starting at the product-expansion launch month.</t>
  </si>
  <si>
    <t>Quacked's current product is quantitative case-math practice. As it evolves into a broader consulting-recruiting platform, additional modules are expected to increase customer lifetime value, retention, and pricing power. The Expansion scenario models this as a single ARPU step-up (see Assumptions: Post-Expansion Monthly Price); the allocation below is an illustrative breakdown of that uplift across modules, for planning discussion only.</t>
  </si>
  <si>
    <t>Planned Modules &amp; Illustrative ARPU Allocation</t>
  </si>
  <si>
    <t>Module</t>
  </si>
  <si>
    <t>Illustrative Share of Uplift</t>
  </si>
  <si>
    <t>Illustrative $ / mo</t>
  </si>
  <si>
    <t>Rationale</t>
  </si>
  <si>
    <t>Qualitative Case Practice</t>
  </si>
  <si>
    <t>Structured business-judgment case practice beyond quant math</t>
  </si>
  <si>
    <t>Broadens the product beyond arithmetic into the full case-interview skillset.</t>
  </si>
  <si>
    <t>Framework Drills</t>
  </si>
  <si>
    <t>Kahoot-style timed recall &amp; drag-and-drop practice for classic frameworks</t>
  </si>
  <si>
    <t>High engagement, habit-forming, cheap to deliver at scale.</t>
  </si>
  <si>
    <t>Exhibit / Chart Analysis</t>
  </si>
  <si>
    <t>Deterministic chart-reading and data-interpretation practice (live: Exhibits beta)</t>
  </si>
  <si>
    <t>Already in active development — natural first monetized add-on.</t>
  </si>
  <si>
    <t>AI Interview Coaching</t>
  </si>
  <si>
    <t>AI-moderated mock interviews with structured feedback</t>
  </si>
  <si>
    <t>Highest perceived value; closest substitute for paid human coaching / club prep.</t>
  </si>
  <si>
    <t>Behavioral Interview Prep</t>
  </si>
  <si>
    <t>Fit/behavioral question practice and story-bank building</t>
  </si>
  <si>
    <t>Expected but lower-differentiation add-on relative to competitors.</t>
  </si>
  <si>
    <t>Recruiter Insights &amp; Analytics</t>
  </si>
  <si>
    <t>Aggregated, anonymized benchmarking of performance vs. peer cohort</t>
  </si>
  <si>
    <t>Longer-term data-network-effect feature; monetizes engagement history.</t>
  </si>
  <si>
    <t>Total</t>
  </si>
  <si>
    <t>Timing: launches at the product-expansion launch month set on the Assumptions tab (Expansion scenario: Month 19, start of Year 2 H2). Conservative and Base scenarios hold price flat at $29/mo and do not include this uplift, consistent with treating product expansion strictly as a future scenario rather than a current revenue stream.</t>
  </si>
  <si>
    <t>36-Month Forecast — Conservative Case</t>
  </si>
  <si>
    <t>Cohort build: Leads → Free → Paid → Active, with churn, referral, and repeat-user loops. All dollar figures illustrative.</t>
  </si>
  <si>
    <t>Year</t>
  </si>
  <si>
    <t>Addressable
Pool</t>
  </si>
  <si>
    <t>Seasonality
Multiplier</t>
  </si>
  <si>
    <t>Effective
Awareness Rate</t>
  </si>
  <si>
    <t>Leads</t>
  </si>
  <si>
    <t>Free
Signups</t>
  </si>
  <si>
    <t>Paid
Conversions</t>
  </si>
  <si>
    <t>Referral
Subs</t>
  </si>
  <si>
    <t>Returning
Subs</t>
  </si>
  <si>
    <t>Total New
Paying Subs</t>
  </si>
  <si>
    <t>Active
Subs</t>
  </si>
  <si>
    <t>Monthly
Price</t>
  </si>
  <si>
    <t>Monthly
Revenue</t>
  </si>
  <si>
    <t>Cases /
User</t>
  </si>
  <si>
    <t>Cost /
Case</t>
  </si>
  <si>
    <t>Monthly
COGS</t>
  </si>
  <si>
    <t>Gross
Profit</t>
  </si>
  <si>
    <t>Gross
Margin %</t>
  </si>
  <si>
    <t>36-Month Forecast — Base Case</t>
  </si>
  <si>
    <t>36-Month Forecast — Expansion Case</t>
  </si>
  <si>
    <t>Annual roll-up across Conservative, Base, and Expansion cases.</t>
  </si>
  <si>
    <t>Annual Revenue, Gross Profit &amp; Exit ARR</t>
  </si>
  <si>
    <t>Scenario</t>
  </si>
  <si>
    <t>Year 1 Revenue</t>
  </si>
  <si>
    <t>Year 2 Revenue</t>
  </si>
  <si>
    <t>Year 3 Revenue</t>
  </si>
  <si>
    <t>Year 1 Exit ARR</t>
  </si>
  <si>
    <t>Year 2 Exit ARR</t>
  </si>
  <si>
    <t>Year 3 Gross Margin %</t>
  </si>
  <si>
    <t>Year 3 Ending Active Subs</t>
  </si>
  <si>
    <t>Exit ARR = final month's revenue in that year × 12 (a run-rate snapshot, not a cumulative annual total). Year 3 gross margin and ending subscribers are shown to illustrate model maturity at the end of the 36-month horizon.</t>
  </si>
  <si>
    <t>Key Takeaway</t>
  </si>
  <si>
    <t>The Base case reaches meaningful recurring revenue through conservative per-phase adoption without requiring broad market penetration. The Expansion case only exceeds $1M ARR once two explicit, separately-labeled levers both activate: national + adjacent-category market expansion (Market Expansion tab) and the product-expansion ARPU step-up (Product Expansion tab) — not from an assumed higher growth rate.</t>
  </si>
  <si>
    <t>Sensitivity Analysis — Base Case</t>
  </si>
  <si>
    <t>Steady-state Year-3 ARR sensitivity to Free→Paid conversion rate and monthly churn rate.</t>
  </si>
  <si>
    <t>This uses a simplified steady-state approximation (not the full 36-month cohort cascade) so the grid recalculates instantly: Steady-State Active Subscribers ≈ Monthly New Subs ÷ (Churn Rate − Referral Coefficient), using Year-3 pool size, awareness rate, and average (1.00×) seasonality from the Base case. Directional read, not a replacement for the full forecast tabs.</t>
  </si>
  <si>
    <t>Fixed Inputs (from Base case, Year 3)</t>
  </si>
  <si>
    <t>Year-3 addressable pool</t>
  </si>
  <si>
    <t>Year-3 effective awareness rate</t>
  </si>
  <si>
    <t>Lead → Free rate</t>
  </si>
  <si>
    <t>Referral coefficient</t>
  </si>
  <si>
    <t>Monthly price</t>
  </si>
  <si>
    <t>Year-3 Exit ARR ($) — Conversion Rate (rows) × Monthly Churn (columns)</t>
  </si>
  <si>
    <t>Conversion Rate ↓  /  Churn →</t>
  </si>
  <si>
    <t>Gold cell = current Base-case assumptions (20% conversion, 33% churn). Reading down a column shows the payoff of improving conversion; reading across a row shows the cost of higher churn — both are within a startup's control (onboarding/product for conversion, engagement/habit loop for churn), unlike market size.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</si>
</sst>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0.0%"/>
    <numFmt numFmtId="166" formatCode="mmm\-yyyy"/>
    <numFmt numFmtId="167" formatCode="\$#,##0.000"/>
    <numFmt numFmtId="168" formatCode="\$#,##0.00"/>
  </numFmts>
  <fonts count="13" x14ac:knownFonts="1">
    <font>
      <sz val="11"/>
      <color theme="1"/>
      <name val="Calibri"/>
      <family val="2"/>
      <charset val="1"/>
    </font>
    <font>
      <b/>
      <sz val="16"/>
      <color rgb="FF1B3B6F"/>
      <name val="Arial"/>
      <family val="2"/>
    </font>
    <font>
      <i/>
      <sz val="10"/>
      <color rgb="FF808080"/>
      <name val="Arial"/>
      <family val="2"/>
    </font>
    <font>
      <b/>
      <sz val="12"/>
      <color rgb="FFFFFFFF"/>
      <name val="Arial"/>
      <family val="2"/>
    </font>
    <font>
      <b/>
      <sz val="10"/>
      <color rgb="FF808080"/>
      <name val="Arial"/>
      <family val="2"/>
    </font>
    <font>
      <b/>
      <sz val="20"/>
      <color rgb="FF1B3B6F"/>
      <name val="Arial"/>
      <family val="2"/>
    </font>
    <font>
      <i/>
      <sz val="9"/>
      <color rgb="FF80808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B3B6F"/>
      </patternFill>
    </fill>
    <fill>
      <patternFill patternType="solid">
        <fgColor rgb="FFFFF2CC"/>
        <bgColor rgb="FFF9F9F9"/>
      </patternFill>
    </fill>
    <fill>
      <patternFill patternType="solid">
        <fgColor rgb="FFF2F6FB"/>
        <bgColor rgb="FFF9F9F9"/>
      </patternFill>
    </fill>
    <fill>
      <patternFill patternType="solid">
        <fgColor rgb="FFD9EAD3"/>
        <bgColor rgb="FFD9D9D9"/>
      </patternFill>
    </fill>
    <fill>
      <patternFill patternType="solid">
        <fgColor rgb="FFF5C842"/>
        <bgColor rgb="FFFFCC9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/>
      <diagonal/>
    </border>
    <border>
      <left style="thick">
        <color rgb="FFF5C842"/>
      </left>
      <right style="thick">
        <color rgb="FFF5C842"/>
      </right>
      <top style="thick">
        <color rgb="FFF5C842"/>
      </top>
      <bottom style="thick">
        <color rgb="FFF5C842"/>
      </bottom>
      <diagonal/>
    </border>
  </borders>
  <cellStyleXfs count="1">
    <xf numFmtId="0" fontId="0" fillId="0" borderId="0"/>
  </cellStyleXfs>
  <cellXfs count="74">
    <xf numFmtId="0" fontId="0" fillId="0" borderId="0" xfId="0"/>
    <xf numFmtId="166" fontId="9" fillId="0" borderId="0" xfId="0" applyNumberFormat="1" applyFont="1"/>
    <xf numFmtId="0" fontId="10" fillId="0" borderId="0" xfId="0" applyFont="1"/>
    <xf numFmtId="0" fontId="8" fillId="0" borderId="0" xfId="0" applyFont="1"/>
    <xf numFmtId="0" fontId="6" fillId="0" borderId="0" xfId="0" applyFont="1"/>
    <xf numFmtId="0" fontId="9" fillId="0" borderId="0" xfId="0" applyFont="1"/>
    <xf numFmtId="0" fontId="6" fillId="0" borderId="0" xfId="0" applyFont="1" applyAlignment="1">
      <alignment vertical="top" wrapText="1"/>
    </xf>
    <xf numFmtId="165" fontId="5" fillId="0" borderId="0" xfId="0" applyNumberFormat="1" applyFont="1" applyAlignment="1">
      <alignment horizontal="left"/>
    </xf>
    <xf numFmtId="3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3" fillId="2" borderId="0" xfId="0" applyFont="1" applyFill="1" applyAlignment="1">
      <alignment horizontal="left" vertical="center" indent="1"/>
    </xf>
    <xf numFmtId="0" fontId="2" fillId="0" borderId="0" xfId="0" applyFont="1"/>
    <xf numFmtId="0" fontId="1" fillId="0" borderId="0" xfId="0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6" fillId="0" borderId="0" xfId="0" applyFont="1"/>
    <xf numFmtId="0" fontId="11" fillId="2" borderId="0" xfId="0" applyFont="1" applyFill="1" applyAlignment="1">
      <alignment horizontal="center"/>
    </xf>
    <xf numFmtId="0" fontId="11" fillId="2" borderId="0" xfId="0" applyFont="1" applyFill="1"/>
    <xf numFmtId="0" fontId="8" fillId="0" borderId="0" xfId="0" applyFont="1" applyAlignment="1">
      <alignment horizontal="left" vertical="center" wrapText="1"/>
    </xf>
    <xf numFmtId="164" fontId="9" fillId="0" borderId="0" xfId="0" applyNumberFormat="1" applyFont="1" applyAlignment="1">
      <alignment horizontal="center"/>
    </xf>
    <xf numFmtId="0" fontId="6" fillId="0" borderId="0" xfId="0" applyFont="1" applyAlignment="1">
      <alignment vertical="center" wrapText="1"/>
    </xf>
    <xf numFmtId="1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9" fontId="9" fillId="0" borderId="0" xfId="0" applyNumberFormat="1" applyFont="1" applyAlignment="1">
      <alignment horizontal="center"/>
    </xf>
    <xf numFmtId="9" fontId="9" fillId="3" borderId="0" xfId="0" applyNumberFormat="1" applyFont="1" applyFill="1" applyAlignment="1">
      <alignment horizontal="center"/>
    </xf>
    <xf numFmtId="167" fontId="9" fillId="0" borderId="0" xfId="0" applyNumberFormat="1" applyFont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left" indent="1"/>
    </xf>
    <xf numFmtId="2" fontId="9" fillId="0" borderId="1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49" fontId="7" fillId="0" borderId="1" xfId="0" applyNumberFormat="1" applyFont="1" applyBorder="1" applyAlignment="1">
      <alignment horizontal="left" indent="1"/>
    </xf>
    <xf numFmtId="49" fontId="8" fillId="0" borderId="1" xfId="0" applyNumberFormat="1" applyFont="1" applyBorder="1" applyAlignment="1">
      <alignment horizontal="left" vertical="center" wrapText="1"/>
    </xf>
    <xf numFmtId="9" fontId="9" fillId="0" borderId="1" xfId="0" applyNumberFormat="1" applyFont="1" applyBorder="1" applyAlignment="1">
      <alignment horizontal="center"/>
    </xf>
    <xf numFmtId="168" fontId="10" fillId="0" borderId="1" xfId="0" applyNumberFormat="1" applyFont="1" applyBorder="1" applyAlignment="1">
      <alignment horizontal="center"/>
    </xf>
    <xf numFmtId="0" fontId="7" fillId="0" borderId="2" xfId="0" applyFont="1" applyBorder="1"/>
    <xf numFmtId="0" fontId="0" fillId="0" borderId="2" xfId="0" applyBorder="1"/>
    <xf numFmtId="9" fontId="8" fillId="0" borderId="2" xfId="0" applyNumberFormat="1" applyFont="1" applyBorder="1" applyAlignment="1">
      <alignment horizontal="center"/>
    </xf>
    <xf numFmtId="168" fontId="8" fillId="0" borderId="2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/>
    </xf>
    <xf numFmtId="3" fontId="10" fillId="0" borderId="1" xfId="0" applyNumberFormat="1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10" fontId="10" fillId="0" borderId="1" xfId="0" applyNumberFormat="1" applyFont="1" applyBorder="1" applyAlignment="1">
      <alignment horizontal="center"/>
    </xf>
    <xf numFmtId="3" fontId="8" fillId="4" borderId="1" xfId="0" applyNumberFormat="1" applyFont="1" applyFill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164" fontId="8" fillId="4" borderId="1" xfId="0" applyNumberFormat="1" applyFont="1" applyFill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167" fontId="10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3" fontId="10" fillId="0" borderId="0" xfId="0" applyNumberFormat="1" applyFont="1" applyAlignment="1">
      <alignment horizontal="center"/>
    </xf>
    <xf numFmtId="10" fontId="10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1" fillId="2" borderId="0" xfId="0" applyFont="1" applyFill="1" applyAlignment="1">
      <alignment horizontal="center" vertical="center" wrapText="1"/>
    </xf>
    <xf numFmtId="9" fontId="11" fillId="2" borderId="0" xfId="0" applyNumberFormat="1" applyFont="1" applyFill="1" applyAlignment="1">
      <alignment horizontal="center"/>
    </xf>
    <xf numFmtId="9" fontId="12" fillId="5" borderId="1" xfId="0" applyNumberFormat="1" applyFont="1" applyFill="1" applyBorder="1" applyAlignment="1">
      <alignment horizontal="center"/>
    </xf>
    <xf numFmtId="164" fontId="12" fillId="6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FF2CC"/>
      <rgbColor rgb="FFF2F6FB"/>
      <rgbColor rgb="FF660066"/>
      <rgbColor rgb="FFFF8080"/>
      <rgbColor rgb="FF2E5F8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5C842"/>
      <rgbColor rgb="FFFF9900"/>
      <rgbColor rgb="FFFF6600"/>
      <rgbColor rgb="FF4F81BD"/>
      <rgbColor rgb="FF878787"/>
      <rgbColor rgb="FF1B3B6F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Active Subscribers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 - Base'!$M$4</c:f>
              <c:strCache>
                <c:ptCount val="1"/>
                <c:pt idx="0">
                  <c:v>Active
Subs</c:v>
                </c:pt>
              </c:strCache>
            </c:strRef>
          </c:tx>
          <c:spPr>
            <a:ln w="2196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'Forecast - Base'!$A$5:$A$40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'Forecast - Base'!$M$5:$M$40</c:f>
              <c:numCache>
                <c:formatCode>#,##0</c:formatCode>
                <c:ptCount val="36"/>
                <c:pt idx="0">
                  <c:v>1.0285714285714285</c:v>
                </c:pt>
                <c:pt idx="1">
                  <c:v>1.6379972301711829</c:v>
                </c:pt>
                <c:pt idx="2">
                  <c:v>1.7192771293246558</c:v>
                </c:pt>
                <c:pt idx="3">
                  <c:v>1.5451475527398773</c:v>
                </c:pt>
                <c:pt idx="4">
                  <c:v>1.6126619326844296</c:v>
                </c:pt>
                <c:pt idx="5">
                  <c:v>1.7909196136200727</c:v>
                </c:pt>
                <c:pt idx="6">
                  <c:v>20.014793647860685</c:v>
                </c:pt>
                <c:pt idx="7">
                  <c:v>26.521245327682813</c:v>
                </c:pt>
                <c:pt idx="8">
                  <c:v>26.365682380795668</c:v>
                </c:pt>
                <c:pt idx="9">
                  <c:v>29.657634349201413</c:v>
                </c:pt>
                <c:pt idx="10">
                  <c:v>37.093541108591268</c:v>
                </c:pt>
                <c:pt idx="11">
                  <c:v>49.2326563711893</c:v>
                </c:pt>
                <c:pt idx="12">
                  <c:v>64.909961467549181</c:v>
                </c:pt>
                <c:pt idx="13">
                  <c:v>72.767401524729536</c:v>
                </c:pt>
                <c:pt idx="14">
                  <c:v>68.018820437605541</c:v>
                </c:pt>
                <c:pt idx="15">
                  <c:v>100.88354793204672</c:v>
                </c:pt>
                <c:pt idx="16">
                  <c:v>151.71517922181411</c:v>
                </c:pt>
                <c:pt idx="17">
                  <c:v>206.55417924231381</c:v>
                </c:pt>
                <c:pt idx="18">
                  <c:v>256.79792185580237</c:v>
                </c:pt>
                <c:pt idx="19">
                  <c:v>255.57849197067191</c:v>
                </c:pt>
                <c:pt idx="20">
                  <c:v>226.85455267839441</c:v>
                </c:pt>
                <c:pt idx="21">
                  <c:v>227.69413313474266</c:v>
                </c:pt>
                <c:pt idx="22">
                  <c:v>259.85507559751346</c:v>
                </c:pt>
                <c:pt idx="23">
                  <c:v>325.06729270954736</c:v>
                </c:pt>
                <c:pt idx="24">
                  <c:v>414.63208602984872</c:v>
                </c:pt>
                <c:pt idx="25">
                  <c:v>459.00846148481537</c:v>
                </c:pt>
                <c:pt idx="26">
                  <c:v>428.18797135070815</c:v>
                </c:pt>
                <c:pt idx="27">
                  <c:v>432.70506412866365</c:v>
                </c:pt>
                <c:pt idx="28">
                  <c:v>507.44735225233217</c:v>
                </c:pt>
                <c:pt idx="29">
                  <c:v>610.80884421790813</c:v>
                </c:pt>
                <c:pt idx="30">
                  <c:v>712.42038750708559</c:v>
                </c:pt>
                <c:pt idx="31">
                  <c:v>695.05528977103154</c:v>
                </c:pt>
                <c:pt idx="32">
                  <c:v>613.88724686388446</c:v>
                </c:pt>
                <c:pt idx="33">
                  <c:v>606.89824547977423</c:v>
                </c:pt>
                <c:pt idx="34">
                  <c:v>679.01693249889422</c:v>
                </c:pt>
                <c:pt idx="35">
                  <c:v>834.9158941311639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7B-314A-AFB0-512D1E7D5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2570365"/>
        <c:axId val="58166742"/>
      </c:lineChart>
      <c:catAx>
        <c:axId val="425703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Model Month (1 = Sep-2026)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166742"/>
        <c:crosses val="autoZero"/>
        <c:auto val="1"/>
        <c:lblAlgn val="ctr"/>
        <c:lblOffset val="100"/>
        <c:noMultiLvlLbl val="0"/>
      </c:catAx>
      <c:valAx>
        <c:axId val="581667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Active Subscribers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5703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'Forecast - Base'!$O$4</c:f>
              <c:strCache>
                <c:ptCount val="1"/>
                <c:pt idx="0">
                  <c:v>Monthly
Revenue</c:v>
                </c:pt>
              </c:strCache>
            </c:strRef>
          </c:tx>
          <c:spPr>
            <a:solidFill>
              <a:srgbClr val="2E5F8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'Forecast - Base'!$A$5:$A$40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'Forecast - Base'!$O$5:$O$40</c:f>
              <c:numCache>
                <c:formatCode>\$#,##0</c:formatCode>
                <c:ptCount val="36"/>
                <c:pt idx="0">
                  <c:v>29.828571428571426</c:v>
                </c:pt>
                <c:pt idx="1">
                  <c:v>47.501919674964306</c:v>
                </c:pt>
                <c:pt idx="2">
                  <c:v>49.859036750415015</c:v>
                </c:pt>
                <c:pt idx="3">
                  <c:v>44.809279029456441</c:v>
                </c:pt>
                <c:pt idx="4">
                  <c:v>46.767196047848458</c:v>
                </c:pt>
                <c:pt idx="5">
                  <c:v>51.936668794982111</c:v>
                </c:pt>
                <c:pt idx="6">
                  <c:v>580.42901578795988</c:v>
                </c:pt>
                <c:pt idx="7">
                  <c:v>769.11611450280157</c:v>
                </c:pt>
                <c:pt idx="8">
                  <c:v>764.60478904307433</c:v>
                </c:pt>
                <c:pt idx="9">
                  <c:v>860.07139612684091</c:v>
                </c:pt>
                <c:pt idx="10">
                  <c:v>1075.7126921491467</c:v>
                </c:pt>
                <c:pt idx="11">
                  <c:v>1427.7470347644896</c:v>
                </c:pt>
                <c:pt idx="12">
                  <c:v>1882.3888825589263</c:v>
                </c:pt>
                <c:pt idx="13">
                  <c:v>2110.2546442171565</c:v>
                </c:pt>
                <c:pt idx="14">
                  <c:v>1972.5457926905606</c:v>
                </c:pt>
                <c:pt idx="15">
                  <c:v>2925.6228900293549</c:v>
                </c:pt>
                <c:pt idx="16">
                  <c:v>4399.7401974326094</c:v>
                </c:pt>
                <c:pt idx="17">
                  <c:v>5990.0711980271008</c:v>
                </c:pt>
                <c:pt idx="18">
                  <c:v>7447.1397338182687</c:v>
                </c:pt>
                <c:pt idx="19">
                  <c:v>7411.7762671494856</c:v>
                </c:pt>
                <c:pt idx="20">
                  <c:v>6578.7820276734383</c:v>
                </c:pt>
                <c:pt idx="21">
                  <c:v>6603.1298609075375</c:v>
                </c:pt>
                <c:pt idx="22">
                  <c:v>7535.7971923278901</c:v>
                </c:pt>
                <c:pt idx="23">
                  <c:v>9426.9514885768731</c:v>
                </c:pt>
                <c:pt idx="24">
                  <c:v>12024.330494865613</c:v>
                </c:pt>
                <c:pt idx="25">
                  <c:v>13311.245383059646</c:v>
                </c:pt>
                <c:pt idx="26">
                  <c:v>12417.451169170536</c:v>
                </c:pt>
                <c:pt idx="27">
                  <c:v>12548.446859731246</c:v>
                </c:pt>
                <c:pt idx="28">
                  <c:v>14715.973215317634</c:v>
                </c:pt>
                <c:pt idx="29">
                  <c:v>17713.456482319336</c:v>
                </c:pt>
                <c:pt idx="30">
                  <c:v>20660.191237705483</c:v>
                </c:pt>
                <c:pt idx="31">
                  <c:v>20156.603403359914</c:v>
                </c:pt>
                <c:pt idx="32">
                  <c:v>17802.730159052648</c:v>
                </c:pt>
                <c:pt idx="33">
                  <c:v>17600.049118913452</c:v>
                </c:pt>
                <c:pt idx="34">
                  <c:v>19691.491042467933</c:v>
                </c:pt>
                <c:pt idx="35">
                  <c:v>24212.560929803753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8-D54E-A370-E4909E73B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681977"/>
        <c:axId val="18673468"/>
      </c:barChart>
      <c:catAx>
        <c:axId val="866819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Model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673468"/>
        <c:crosses val="autoZero"/>
        <c:auto val="1"/>
        <c:lblAlgn val="ctr"/>
        <c:lblOffset val="100"/>
        <c:noMultiLvlLbl val="0"/>
      </c:catAx>
      <c:valAx>
        <c:axId val="186734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Monthly 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6819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Exit ARR by Scenario and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'Scenario Summary'!$E$5</c:f>
              <c:strCache>
                <c:ptCount val="1"/>
                <c:pt idx="0">
                  <c:v>Year 1 Exit ARR</c:v>
                </c:pt>
              </c:strCache>
            </c:strRef>
          </c:tx>
          <c:spPr>
            <a:solidFill>
              <a:srgbClr val="8FAAD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Summary'!$A$6:$A$8</c:f>
              <c:strCache>
                <c:ptCount val="3"/>
                <c:pt idx="0">
                  <c:v>Conservative</c:v>
                </c:pt>
                <c:pt idx="1">
                  <c:v>Base</c:v>
                </c:pt>
                <c:pt idx="2">
                  <c:v>Expansion</c:v>
                </c:pt>
              </c:strCache>
            </c:strRef>
          </c:cat>
          <c:val>
            <c:numRef>
              <c:f>'Scenario Summary'!$E$6:$E$8</c:f>
              <c:numCache>
                <c:formatCode>\$#,##0</c:formatCode>
                <c:ptCount val="3"/>
                <c:pt idx="0">
                  <c:v>383.17718782425925</c:v>
                </c:pt>
                <c:pt idx="1">
                  <c:v>17132.964417173876</c:v>
                </c:pt>
                <c:pt idx="2">
                  <c:v>134374.26427269547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8-5A46-9916-CB046E366252}"/>
            </c:ext>
          </c:extLst>
        </c:ser>
        <c:ser>
          <c:idx val="1"/>
          <c:order val="1"/>
          <c:tx>
            <c:strRef>
              <c:f>'Scenario Summary'!$F$5</c:f>
              <c:strCache>
                <c:ptCount val="1"/>
                <c:pt idx="0">
                  <c:v>Year 2 Exit ARR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Summary'!$A$6:$A$8</c:f>
              <c:strCache>
                <c:ptCount val="3"/>
                <c:pt idx="0">
                  <c:v>Conservative</c:v>
                </c:pt>
                <c:pt idx="1">
                  <c:v>Base</c:v>
                </c:pt>
                <c:pt idx="2">
                  <c:v>Expansion</c:v>
                </c:pt>
              </c:strCache>
            </c:strRef>
          </c:cat>
          <c:val>
            <c:numRef>
              <c:f>'Scenario Summary'!$F$6:$F$8</c:f>
              <c:numCache>
                <c:formatCode>\$#,##0</c:formatCode>
                <c:ptCount val="3"/>
                <c:pt idx="0">
                  <c:v>11071.884741308699</c:v>
                </c:pt>
                <c:pt idx="1">
                  <c:v>113123.41786292248</c:v>
                </c:pt>
                <c:pt idx="2">
                  <c:v>1149518.9491010737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98-5A46-9916-CB046E366252}"/>
            </c:ext>
          </c:extLst>
        </c:ser>
        <c:ser>
          <c:idx val="2"/>
          <c:order val="2"/>
          <c:tx>
            <c:strRef>
              <c:f>'Scenario Summary'!$G$5</c:f>
              <c:strCache>
                <c:ptCount val="1"/>
                <c:pt idx="0">
                  <c:v>Year 3 Exit ARR</c:v>
                </c:pt>
              </c:strCache>
            </c:strRef>
          </c:tx>
          <c:spPr>
            <a:solidFill>
              <a:srgbClr val="1F4E7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Summary'!$A$6:$A$8</c:f>
              <c:strCache>
                <c:ptCount val="3"/>
                <c:pt idx="0">
                  <c:v>Conservative</c:v>
                </c:pt>
                <c:pt idx="1">
                  <c:v>Base</c:v>
                </c:pt>
                <c:pt idx="2">
                  <c:v>Expansion</c:v>
                </c:pt>
              </c:strCache>
            </c:strRef>
          </c:cat>
          <c:val>
            <c:numRef>
              <c:f>'Scenario Summary'!$G$6:$G$8</c:f>
              <c:numCache>
                <c:formatCode>\$#,##0</c:formatCode>
                <c:ptCount val="3"/>
                <c:pt idx="0">
                  <c:v>62130.037920912553</c:v>
                </c:pt>
                <c:pt idx="1">
                  <c:v>290550.731157645</c:v>
                </c:pt>
                <c:pt idx="2">
                  <c:v>2735380.4091615989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98-5A46-9916-CB046E366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683194"/>
        <c:axId val="32931587"/>
      </c:barChart>
      <c:catAx>
        <c:axId val="816831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931587"/>
        <c:crosses val="autoZero"/>
        <c:auto val="1"/>
        <c:lblAlgn val="ctr"/>
        <c:lblOffset val="100"/>
        <c:noMultiLvlLbl val="0"/>
      </c:catAx>
      <c:valAx>
        <c:axId val="329315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Exit ARR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6831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Addressable Market Expansion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'Market Expansion'!$B$20</c:f>
              <c:strCache>
                <c:ptCount val="1"/>
                <c:pt idx="0">
                  <c:v>Conservative</c:v>
                </c:pt>
              </c:strCache>
            </c:strRef>
          </c:tx>
          <c:spPr>
            <a:ln w="20160">
              <a:solidFill>
                <a:srgbClr val="8FAAD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'Market Expansion'!$A$21:$A$56</c:f>
              <c:numCache>
                <c:formatCode>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'Market Expansion'!$B$21:$B$56</c:f>
              <c:numCache>
                <c:formatCode>#,##0</c:formatCode>
                <c:ptCount val="36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  <c:pt idx="15">
                  <c:v>5000</c:v>
                </c:pt>
                <c:pt idx="16">
                  <c:v>5000</c:v>
                </c:pt>
                <c:pt idx="17">
                  <c:v>5000</c:v>
                </c:pt>
                <c:pt idx="18">
                  <c:v>5000</c:v>
                </c:pt>
                <c:pt idx="19">
                  <c:v>5000</c:v>
                </c:pt>
                <c:pt idx="20">
                  <c:v>5000</c:v>
                </c:pt>
                <c:pt idx="21">
                  <c:v>5000</c:v>
                </c:pt>
                <c:pt idx="22">
                  <c:v>5000</c:v>
                </c:pt>
                <c:pt idx="23">
                  <c:v>5000</c:v>
                </c:pt>
                <c:pt idx="24">
                  <c:v>5000</c:v>
                </c:pt>
                <c:pt idx="25">
                  <c:v>5000</c:v>
                </c:pt>
                <c:pt idx="26">
                  <c:v>5000</c:v>
                </c:pt>
                <c:pt idx="27">
                  <c:v>5000</c:v>
                </c:pt>
                <c:pt idx="28">
                  <c:v>5000</c:v>
                </c:pt>
                <c:pt idx="29">
                  <c:v>5000</c:v>
                </c:pt>
                <c:pt idx="30">
                  <c:v>25000</c:v>
                </c:pt>
                <c:pt idx="31">
                  <c:v>25000</c:v>
                </c:pt>
                <c:pt idx="32">
                  <c:v>25000</c:v>
                </c:pt>
                <c:pt idx="33">
                  <c:v>25000</c:v>
                </c:pt>
                <c:pt idx="34">
                  <c:v>25000</c:v>
                </c:pt>
                <c:pt idx="35">
                  <c:v>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56-8748-AF82-0E5BB1ED3C79}"/>
            </c:ext>
          </c:extLst>
        </c:ser>
        <c:ser>
          <c:idx val="1"/>
          <c:order val="1"/>
          <c:tx>
            <c:strRef>
              <c:f>'Market Expansion'!$C$20</c:f>
              <c:strCache>
                <c:ptCount val="1"/>
                <c:pt idx="0">
                  <c:v>Base</c:v>
                </c:pt>
              </c:strCache>
            </c:strRef>
          </c:tx>
          <c:spPr>
            <a:ln w="2016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'Market Expansion'!$A$21:$A$56</c:f>
              <c:numCache>
                <c:formatCode>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'Market Expansion'!$C$21:$C$56</c:f>
              <c:numCache>
                <c:formatCode>#,##0</c:formatCode>
                <c:ptCount val="36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5000</c:v>
                </c:pt>
                <c:pt idx="7">
                  <c:v>5000</c:v>
                </c:pt>
                <c:pt idx="8">
                  <c:v>5000</c:v>
                </c:pt>
                <c:pt idx="9">
                  <c:v>5000</c:v>
                </c:pt>
                <c:pt idx="10">
                  <c:v>5000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  <c:pt idx="15">
                  <c:v>25000</c:v>
                </c:pt>
                <c:pt idx="16">
                  <c:v>25000</c:v>
                </c:pt>
                <c:pt idx="17">
                  <c:v>25000</c:v>
                </c:pt>
                <c:pt idx="18">
                  <c:v>25000</c:v>
                </c:pt>
                <c:pt idx="19">
                  <c:v>25000</c:v>
                </c:pt>
                <c:pt idx="20">
                  <c:v>25000</c:v>
                </c:pt>
                <c:pt idx="21">
                  <c:v>25000</c:v>
                </c:pt>
                <c:pt idx="22">
                  <c:v>25000</c:v>
                </c:pt>
                <c:pt idx="23">
                  <c:v>25000</c:v>
                </c:pt>
                <c:pt idx="24">
                  <c:v>25000</c:v>
                </c:pt>
                <c:pt idx="25">
                  <c:v>25000</c:v>
                </c:pt>
                <c:pt idx="26">
                  <c:v>25000</c:v>
                </c:pt>
                <c:pt idx="27">
                  <c:v>50000</c:v>
                </c:pt>
                <c:pt idx="28">
                  <c:v>50000</c:v>
                </c:pt>
                <c:pt idx="29">
                  <c:v>50000</c:v>
                </c:pt>
                <c:pt idx="30">
                  <c:v>50000</c:v>
                </c:pt>
                <c:pt idx="31">
                  <c:v>50000</c:v>
                </c:pt>
                <c:pt idx="32">
                  <c:v>50000</c:v>
                </c:pt>
                <c:pt idx="33">
                  <c:v>50000</c:v>
                </c:pt>
                <c:pt idx="34">
                  <c:v>50000</c:v>
                </c:pt>
                <c:pt idx="35">
                  <c:v>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56-8748-AF82-0E5BB1ED3C79}"/>
            </c:ext>
          </c:extLst>
        </c:ser>
        <c:ser>
          <c:idx val="2"/>
          <c:order val="2"/>
          <c:tx>
            <c:strRef>
              <c:f>'Market Expansion'!$D$20</c:f>
              <c:strCache>
                <c:ptCount val="1"/>
                <c:pt idx="0">
                  <c:v>Expansion</c:v>
                </c:pt>
              </c:strCache>
            </c:strRef>
          </c:tx>
          <c:spPr>
            <a:ln w="2016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'Market Expansion'!$A$21:$A$56</c:f>
              <c:numCache>
                <c:formatCode>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'Market Expansion'!$D$21:$D$56</c:f>
              <c:numCache>
                <c:formatCode>#,##0</c:formatCode>
                <c:ptCount val="36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5000</c:v>
                </c:pt>
                <c:pt idx="4">
                  <c:v>5000</c:v>
                </c:pt>
                <c:pt idx="5">
                  <c:v>5000</c:v>
                </c:pt>
                <c:pt idx="6">
                  <c:v>5000</c:v>
                </c:pt>
                <c:pt idx="7">
                  <c:v>5000</c:v>
                </c:pt>
                <c:pt idx="8">
                  <c:v>5000</c:v>
                </c:pt>
                <c:pt idx="9">
                  <c:v>25000</c:v>
                </c:pt>
                <c:pt idx="10">
                  <c:v>25000</c:v>
                </c:pt>
                <c:pt idx="11">
                  <c:v>25000</c:v>
                </c:pt>
                <c:pt idx="12">
                  <c:v>25000</c:v>
                </c:pt>
                <c:pt idx="13">
                  <c:v>25000</c:v>
                </c:pt>
                <c:pt idx="14">
                  <c:v>25000</c:v>
                </c:pt>
                <c:pt idx="15">
                  <c:v>50000</c:v>
                </c:pt>
                <c:pt idx="16">
                  <c:v>50000</c:v>
                </c:pt>
                <c:pt idx="17">
                  <c:v>50000</c:v>
                </c:pt>
                <c:pt idx="18">
                  <c:v>50000</c:v>
                </c:pt>
                <c:pt idx="19">
                  <c:v>50000</c:v>
                </c:pt>
                <c:pt idx="20">
                  <c:v>50000</c:v>
                </c:pt>
                <c:pt idx="21">
                  <c:v>50000</c:v>
                </c:pt>
                <c:pt idx="22">
                  <c:v>50000</c:v>
                </c:pt>
                <c:pt idx="23">
                  <c:v>150000</c:v>
                </c:pt>
                <c:pt idx="24">
                  <c:v>150000</c:v>
                </c:pt>
                <c:pt idx="25">
                  <c:v>150000</c:v>
                </c:pt>
                <c:pt idx="26">
                  <c:v>150000</c:v>
                </c:pt>
                <c:pt idx="27">
                  <c:v>150000</c:v>
                </c:pt>
                <c:pt idx="28">
                  <c:v>150000</c:v>
                </c:pt>
                <c:pt idx="29">
                  <c:v>150000</c:v>
                </c:pt>
                <c:pt idx="30">
                  <c:v>150000</c:v>
                </c:pt>
                <c:pt idx="31">
                  <c:v>150000</c:v>
                </c:pt>
                <c:pt idx="32">
                  <c:v>150000</c:v>
                </c:pt>
                <c:pt idx="33">
                  <c:v>150000</c:v>
                </c:pt>
                <c:pt idx="34">
                  <c:v>150000</c:v>
                </c:pt>
                <c:pt idx="35">
                  <c:v>150000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56-8748-AF82-0E5BB1ED3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1818144"/>
        <c:axId val="20142275"/>
      </c:lineChart>
      <c:catAx>
        <c:axId val="118181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Model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142275"/>
        <c:crosses val="autoZero"/>
        <c:auto val="1"/>
        <c:lblAlgn val="ctr"/>
        <c:lblOffset val="100"/>
        <c:noMultiLvlLbl val="0"/>
      </c:catAx>
      <c:valAx>
        <c:axId val="201422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Addressable Candidates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8181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New-Subscriber Acquisition Seasonality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Seasonality!$E$7</c:f>
              <c:strCache>
                <c:ptCount val="1"/>
                <c:pt idx="0">
                  <c:v>Normalized Multiplier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Seasonality!$B$8:$B$19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Seasonality!$E$8:$E$19</c:f>
              <c:numCache>
                <c:formatCode>0.00</c:formatCode>
                <c:ptCount val="12"/>
                <c:pt idx="0">
                  <c:v>0.8571428571428571</c:v>
                </c:pt>
                <c:pt idx="1">
                  <c:v>1.0476190476190477</c:v>
                </c:pt>
                <c:pt idx="2">
                  <c:v>1.1428571428571428</c:v>
                </c:pt>
                <c:pt idx="3">
                  <c:v>0.76190476190476186</c:v>
                </c:pt>
                <c:pt idx="4">
                  <c:v>0.47619047619047616</c:v>
                </c:pt>
                <c:pt idx="5">
                  <c:v>0.66666666666666663</c:v>
                </c:pt>
                <c:pt idx="6">
                  <c:v>0.95238095238095233</c:v>
                </c:pt>
                <c:pt idx="7">
                  <c:v>1.3333333333333333</c:v>
                </c:pt>
                <c:pt idx="8">
                  <c:v>1.7142857142857142</c:v>
                </c:pt>
                <c:pt idx="9">
                  <c:v>1.5238095238095237</c:v>
                </c:pt>
                <c:pt idx="10">
                  <c:v>0.95238095238095233</c:v>
                </c:pt>
                <c:pt idx="11">
                  <c:v>0.5714285714285714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A7-4E4B-A06D-CC6162795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0666"/>
        <c:axId val="1517517"/>
      </c:barChart>
      <c:catAx>
        <c:axId val="16406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Calendar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17517"/>
        <c:crosses val="autoZero"/>
        <c:auto val="1"/>
        <c:lblAlgn val="ctr"/>
        <c:lblOffset val="100"/>
        <c:noMultiLvlLbl val="0"/>
      </c:catAx>
      <c:valAx>
        <c:axId val="15175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Normalized Multiplier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406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Addressable Market Expansion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'Market Expansion'!$B$20</c:f>
              <c:strCache>
                <c:ptCount val="1"/>
                <c:pt idx="0">
                  <c:v>Conservative</c:v>
                </c:pt>
              </c:strCache>
            </c:strRef>
          </c:tx>
          <c:spPr>
            <a:ln w="21960">
              <a:solidFill>
                <a:srgbClr val="8FAAD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'Market Expansion'!$A$21:$A$56</c:f>
              <c:numCache>
                <c:formatCode>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'Market Expansion'!$B$21:$B$56</c:f>
              <c:numCache>
                <c:formatCode>#,##0</c:formatCode>
                <c:ptCount val="36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  <c:pt idx="15">
                  <c:v>5000</c:v>
                </c:pt>
                <c:pt idx="16">
                  <c:v>5000</c:v>
                </c:pt>
                <c:pt idx="17">
                  <c:v>5000</c:v>
                </c:pt>
                <c:pt idx="18">
                  <c:v>5000</c:v>
                </c:pt>
                <c:pt idx="19">
                  <c:v>5000</c:v>
                </c:pt>
                <c:pt idx="20">
                  <c:v>5000</c:v>
                </c:pt>
                <c:pt idx="21">
                  <c:v>5000</c:v>
                </c:pt>
                <c:pt idx="22">
                  <c:v>5000</c:v>
                </c:pt>
                <c:pt idx="23">
                  <c:v>5000</c:v>
                </c:pt>
                <c:pt idx="24">
                  <c:v>5000</c:v>
                </c:pt>
                <c:pt idx="25">
                  <c:v>5000</c:v>
                </c:pt>
                <c:pt idx="26">
                  <c:v>5000</c:v>
                </c:pt>
                <c:pt idx="27">
                  <c:v>5000</c:v>
                </c:pt>
                <c:pt idx="28">
                  <c:v>5000</c:v>
                </c:pt>
                <c:pt idx="29">
                  <c:v>5000</c:v>
                </c:pt>
                <c:pt idx="30">
                  <c:v>25000</c:v>
                </c:pt>
                <c:pt idx="31">
                  <c:v>25000</c:v>
                </c:pt>
                <c:pt idx="32">
                  <c:v>25000</c:v>
                </c:pt>
                <c:pt idx="33">
                  <c:v>25000</c:v>
                </c:pt>
                <c:pt idx="34">
                  <c:v>25000</c:v>
                </c:pt>
                <c:pt idx="35">
                  <c:v>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E7-AC41-A338-E44660B60D18}"/>
            </c:ext>
          </c:extLst>
        </c:ser>
        <c:ser>
          <c:idx val="1"/>
          <c:order val="1"/>
          <c:tx>
            <c:strRef>
              <c:f>'Market Expansion'!$C$20</c:f>
              <c:strCache>
                <c:ptCount val="1"/>
                <c:pt idx="0">
                  <c:v>Base</c:v>
                </c:pt>
              </c:strCache>
            </c:strRef>
          </c:tx>
          <c:spPr>
            <a:ln w="2196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'Market Expansion'!$A$21:$A$56</c:f>
              <c:numCache>
                <c:formatCode>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'Market Expansion'!$C$21:$C$56</c:f>
              <c:numCache>
                <c:formatCode>#,##0</c:formatCode>
                <c:ptCount val="36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5000</c:v>
                </c:pt>
                <c:pt idx="7">
                  <c:v>5000</c:v>
                </c:pt>
                <c:pt idx="8">
                  <c:v>5000</c:v>
                </c:pt>
                <c:pt idx="9">
                  <c:v>5000</c:v>
                </c:pt>
                <c:pt idx="10">
                  <c:v>5000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  <c:pt idx="15">
                  <c:v>25000</c:v>
                </c:pt>
                <c:pt idx="16">
                  <c:v>25000</c:v>
                </c:pt>
                <c:pt idx="17">
                  <c:v>25000</c:v>
                </c:pt>
                <c:pt idx="18">
                  <c:v>25000</c:v>
                </c:pt>
                <c:pt idx="19">
                  <c:v>25000</c:v>
                </c:pt>
                <c:pt idx="20">
                  <c:v>25000</c:v>
                </c:pt>
                <c:pt idx="21">
                  <c:v>25000</c:v>
                </c:pt>
                <c:pt idx="22">
                  <c:v>25000</c:v>
                </c:pt>
                <c:pt idx="23">
                  <c:v>25000</c:v>
                </c:pt>
                <c:pt idx="24">
                  <c:v>25000</c:v>
                </c:pt>
                <c:pt idx="25">
                  <c:v>25000</c:v>
                </c:pt>
                <c:pt idx="26">
                  <c:v>25000</c:v>
                </c:pt>
                <c:pt idx="27">
                  <c:v>50000</c:v>
                </c:pt>
                <c:pt idx="28">
                  <c:v>50000</c:v>
                </c:pt>
                <c:pt idx="29">
                  <c:v>50000</c:v>
                </c:pt>
                <c:pt idx="30">
                  <c:v>50000</c:v>
                </c:pt>
                <c:pt idx="31">
                  <c:v>50000</c:v>
                </c:pt>
                <c:pt idx="32">
                  <c:v>50000</c:v>
                </c:pt>
                <c:pt idx="33">
                  <c:v>50000</c:v>
                </c:pt>
                <c:pt idx="34">
                  <c:v>50000</c:v>
                </c:pt>
                <c:pt idx="35">
                  <c:v>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E7-AC41-A338-E44660B60D18}"/>
            </c:ext>
          </c:extLst>
        </c:ser>
        <c:ser>
          <c:idx val="2"/>
          <c:order val="2"/>
          <c:tx>
            <c:strRef>
              <c:f>'Market Expansion'!$D$20</c:f>
              <c:strCache>
                <c:ptCount val="1"/>
                <c:pt idx="0">
                  <c:v>Expansion</c:v>
                </c:pt>
              </c:strCache>
            </c:strRef>
          </c:tx>
          <c:spPr>
            <a:ln w="2196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'Market Expansion'!$A$21:$A$56</c:f>
              <c:numCache>
                <c:formatCode>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'Market Expansion'!$D$21:$D$56</c:f>
              <c:numCache>
                <c:formatCode>#,##0</c:formatCode>
                <c:ptCount val="36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5000</c:v>
                </c:pt>
                <c:pt idx="4">
                  <c:v>5000</c:v>
                </c:pt>
                <c:pt idx="5">
                  <c:v>5000</c:v>
                </c:pt>
                <c:pt idx="6">
                  <c:v>5000</c:v>
                </c:pt>
                <c:pt idx="7">
                  <c:v>5000</c:v>
                </c:pt>
                <c:pt idx="8">
                  <c:v>5000</c:v>
                </c:pt>
                <c:pt idx="9">
                  <c:v>25000</c:v>
                </c:pt>
                <c:pt idx="10">
                  <c:v>25000</c:v>
                </c:pt>
                <c:pt idx="11">
                  <c:v>25000</c:v>
                </c:pt>
                <c:pt idx="12">
                  <c:v>25000</c:v>
                </c:pt>
                <c:pt idx="13">
                  <c:v>25000</c:v>
                </c:pt>
                <c:pt idx="14">
                  <c:v>25000</c:v>
                </c:pt>
                <c:pt idx="15">
                  <c:v>50000</c:v>
                </c:pt>
                <c:pt idx="16">
                  <c:v>50000</c:v>
                </c:pt>
                <c:pt idx="17">
                  <c:v>50000</c:v>
                </c:pt>
                <c:pt idx="18">
                  <c:v>50000</c:v>
                </c:pt>
                <c:pt idx="19">
                  <c:v>50000</c:v>
                </c:pt>
                <c:pt idx="20">
                  <c:v>50000</c:v>
                </c:pt>
                <c:pt idx="21">
                  <c:v>50000</c:v>
                </c:pt>
                <c:pt idx="22">
                  <c:v>50000</c:v>
                </c:pt>
                <c:pt idx="23">
                  <c:v>150000</c:v>
                </c:pt>
                <c:pt idx="24">
                  <c:v>150000</c:v>
                </c:pt>
                <c:pt idx="25">
                  <c:v>150000</c:v>
                </c:pt>
                <c:pt idx="26">
                  <c:v>150000</c:v>
                </c:pt>
                <c:pt idx="27">
                  <c:v>150000</c:v>
                </c:pt>
                <c:pt idx="28">
                  <c:v>150000</c:v>
                </c:pt>
                <c:pt idx="29">
                  <c:v>150000</c:v>
                </c:pt>
                <c:pt idx="30">
                  <c:v>150000</c:v>
                </c:pt>
                <c:pt idx="31">
                  <c:v>150000</c:v>
                </c:pt>
                <c:pt idx="32">
                  <c:v>150000</c:v>
                </c:pt>
                <c:pt idx="33">
                  <c:v>150000</c:v>
                </c:pt>
                <c:pt idx="34">
                  <c:v>150000</c:v>
                </c:pt>
                <c:pt idx="35">
                  <c:v>150000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E7-AC41-A338-E44660B60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883944"/>
        <c:axId val="4852285"/>
      </c:lineChart>
      <c:catAx>
        <c:axId val="78839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Model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52285"/>
        <c:crosses val="autoZero"/>
        <c:auto val="1"/>
        <c:lblAlgn val="ctr"/>
        <c:lblOffset val="100"/>
        <c:noMultiLvlLbl val="0"/>
      </c:catAx>
      <c:valAx>
        <c:axId val="48522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Addressable Candidates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839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Illustrative Revenue Uplift by Product Module (Expansion Scenario, Future)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Expansion'!$D$7</c:f>
              <c:strCache>
                <c:ptCount val="1"/>
                <c:pt idx="0">
                  <c:v>Illustrative $ / mo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Expansion'!$A$8:$A$13</c:f>
              <c:strCache>
                <c:ptCount val="6"/>
                <c:pt idx="0">
                  <c:v>Qualitative Case Practice</c:v>
                </c:pt>
                <c:pt idx="1">
                  <c:v>Framework Drills</c:v>
                </c:pt>
                <c:pt idx="2">
                  <c:v>Exhibit / Chart Analysis</c:v>
                </c:pt>
                <c:pt idx="3">
                  <c:v>AI Interview Coaching</c:v>
                </c:pt>
                <c:pt idx="4">
                  <c:v>Behavioral Interview Prep</c:v>
                </c:pt>
                <c:pt idx="5">
                  <c:v>Recruiter Insights &amp; Analytics</c:v>
                </c:pt>
              </c:strCache>
            </c:strRef>
          </c:cat>
          <c:val>
            <c:numRef>
              <c:f>'Product Expansion'!$D$8:$D$13</c:f>
              <c:numCache>
                <c:formatCode>\$#,##0.00</c:formatCode>
                <c:ptCount val="6"/>
                <c:pt idx="0">
                  <c:v>2.5</c:v>
                </c:pt>
                <c:pt idx="1">
                  <c:v>1.5</c:v>
                </c:pt>
                <c:pt idx="2">
                  <c:v>1.5</c:v>
                </c:pt>
                <c:pt idx="3">
                  <c:v>2.5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A-4543-BB07-3CD3621BB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62537"/>
        <c:axId val="46501121"/>
      </c:barChart>
      <c:catAx>
        <c:axId val="356253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$ / subscriber /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501121"/>
        <c:crosses val="autoZero"/>
        <c:auto val="1"/>
        <c:lblAlgn val="ctr"/>
        <c:lblOffset val="100"/>
        <c:noMultiLvlLbl val="0"/>
      </c:catAx>
      <c:valAx>
        <c:axId val="4650112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Module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625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Active Subscribers &amp; Monthly Revenue — Conservative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 - Conservative'!$M$4</c:f>
              <c:strCache>
                <c:ptCount val="1"/>
                <c:pt idx="0">
                  <c:v>Active
Subs</c:v>
                </c:pt>
              </c:strCache>
            </c:strRef>
          </c:tx>
          <c:spPr>
            <a:ln w="2016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'Forecast - Conservative'!$A$5:$A$40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'Forecast - Conservative'!$M$5:$M$40</c:f>
              <c:numCache>
                <c:formatCode>#,##0</c:formatCode>
                <c:ptCount val="36"/>
                <c:pt idx="0">
                  <c:v>0.61714285714285722</c:v>
                </c:pt>
                <c:pt idx="1">
                  <c:v>0.94688361156746237</c:v>
                </c:pt>
                <c:pt idx="2">
                  <c:v>0.95220837555727433</c:v>
                </c:pt>
                <c:pt idx="3">
                  <c:v>0.81768140846914572</c:v>
                </c:pt>
                <c:pt idx="4">
                  <c:v>0.84251475649944441</c:v>
                </c:pt>
                <c:pt idx="5">
                  <c:v>0.93475440094949114</c:v>
                </c:pt>
                <c:pt idx="6">
                  <c:v>1.0347770338732012</c:v>
                </c:pt>
                <c:pt idx="7">
                  <c:v>0.95466788598211672</c:v>
                </c:pt>
                <c:pt idx="8">
                  <c:v>0.79438326185435948</c:v>
                </c:pt>
                <c:pt idx="9">
                  <c:v>0.77095632764809841</c:v>
                </c:pt>
                <c:pt idx="10">
                  <c:v>0.87476476900182121</c:v>
                </c:pt>
                <c:pt idx="11">
                  <c:v>1.1010838730582162</c:v>
                </c:pt>
                <c:pt idx="12">
                  <c:v>18.479073973677679</c:v>
                </c:pt>
                <c:pt idx="13">
                  <c:v>27.747214536829631</c:v>
                </c:pt>
                <c:pt idx="14">
                  <c:v>27.7660605970134</c:v>
                </c:pt>
                <c:pt idx="15">
                  <c:v>23.805095700832108</c:v>
                </c:pt>
                <c:pt idx="16">
                  <c:v>24.461289691412539</c:v>
                </c:pt>
                <c:pt idx="17">
                  <c:v>27.082033222058818</c:v>
                </c:pt>
                <c:pt idx="18">
                  <c:v>29.943907409560119</c:v>
                </c:pt>
                <c:pt idx="19">
                  <c:v>27.627214775567829</c:v>
                </c:pt>
                <c:pt idx="20">
                  <c:v>23.000807563048646</c:v>
                </c:pt>
                <c:pt idx="21">
                  <c:v>22.314305177848951</c:v>
                </c:pt>
                <c:pt idx="22">
                  <c:v>25.296785326250955</c:v>
                </c:pt>
                <c:pt idx="23">
                  <c:v>31.815760750887065</c:v>
                </c:pt>
                <c:pt idx="24">
                  <c:v>41.716038229519654</c:v>
                </c:pt>
                <c:pt idx="25">
                  <c:v>46.504135126832551</c:v>
                </c:pt>
                <c:pt idx="26">
                  <c:v>42.798953334491593</c:v>
                </c:pt>
                <c:pt idx="27">
                  <c:v>35.648915397255607</c:v>
                </c:pt>
                <c:pt idx="28">
                  <c:v>34.793417150135369</c:v>
                </c:pt>
                <c:pt idx="29">
                  <c:v>36.93572523820761</c:v>
                </c:pt>
                <c:pt idx="30">
                  <c:v>98.188015697077631</c:v>
                </c:pt>
                <c:pt idx="31">
                  <c:v>113.20145546387316</c:v>
                </c:pt>
                <c:pt idx="32">
                  <c:v>104.3696859862403</c:v>
                </c:pt>
                <c:pt idx="33">
                  <c:v>111.67318513694504</c:v>
                </c:pt>
                <c:pt idx="34">
                  <c:v>136.10989468155154</c:v>
                </c:pt>
                <c:pt idx="35">
                  <c:v>178.5345917267602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7B-0447-8B86-60A72CFDB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234155"/>
        <c:axId val="74103453"/>
      </c:lineChart>
      <c:catAx>
        <c:axId val="92341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Model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103453"/>
        <c:crosses val="autoZero"/>
        <c:auto val="1"/>
        <c:lblAlgn val="ctr"/>
        <c:lblOffset val="100"/>
        <c:noMultiLvlLbl val="0"/>
      </c:catAx>
      <c:valAx>
        <c:axId val="741034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Active Subscribers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341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— Conservative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'Forecast - Conservative'!$O$4</c:f>
              <c:strCache>
                <c:ptCount val="1"/>
                <c:pt idx="0">
                  <c:v>Monthly
Revenue</c:v>
                </c:pt>
              </c:strCache>
            </c:strRef>
          </c:tx>
          <c:spPr>
            <a:solidFill>
              <a:srgbClr val="2E5F8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'Forecast - Conservative'!$A$5:$A$40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'Forecast - Conservative'!$O$5:$O$40</c:f>
              <c:numCache>
                <c:formatCode>\$#,##0</c:formatCode>
                <c:ptCount val="36"/>
                <c:pt idx="0">
                  <c:v>17.89714285714286</c:v>
                </c:pt>
                <c:pt idx="1">
                  <c:v>27.459624735456408</c:v>
                </c:pt>
                <c:pt idx="2">
                  <c:v>27.614042891160956</c:v>
                </c:pt>
                <c:pt idx="3">
                  <c:v>23.712760845605224</c:v>
                </c:pt>
                <c:pt idx="4">
                  <c:v>24.432927938483889</c:v>
                </c:pt>
                <c:pt idx="5">
                  <c:v>27.107877627535242</c:v>
                </c:pt>
                <c:pt idx="6">
                  <c:v>30.008533982322835</c:v>
                </c:pt>
                <c:pt idx="7">
                  <c:v>27.685368693481387</c:v>
                </c:pt>
                <c:pt idx="8">
                  <c:v>23.037114593776426</c:v>
                </c:pt>
                <c:pt idx="9">
                  <c:v>22.357733501794854</c:v>
                </c:pt>
                <c:pt idx="10">
                  <c:v>25.368178301052815</c:v>
                </c:pt>
                <c:pt idx="11">
                  <c:v>31.93143231868827</c:v>
                </c:pt>
                <c:pt idx="12">
                  <c:v>535.89314523665269</c:v>
                </c:pt>
                <c:pt idx="13">
                  <c:v>804.66922156805936</c:v>
                </c:pt>
                <c:pt idx="14">
                  <c:v>805.21575731338862</c:v>
                </c:pt>
                <c:pt idx="15">
                  <c:v>690.34777532413113</c:v>
                </c:pt>
                <c:pt idx="16">
                  <c:v>709.37740105096361</c:v>
                </c:pt>
                <c:pt idx="17">
                  <c:v>785.37896343970579</c:v>
                </c:pt>
                <c:pt idx="18">
                  <c:v>868.37331487724339</c:v>
                </c:pt>
                <c:pt idx="19">
                  <c:v>801.18922849146702</c:v>
                </c:pt>
                <c:pt idx="20">
                  <c:v>667.02341932841068</c:v>
                </c:pt>
                <c:pt idx="21">
                  <c:v>647.11485015761957</c:v>
                </c:pt>
                <c:pt idx="22">
                  <c:v>733.60677446127772</c:v>
                </c:pt>
                <c:pt idx="23">
                  <c:v>922.65706177572486</c:v>
                </c:pt>
                <c:pt idx="24">
                  <c:v>1209.76510865607</c:v>
                </c:pt>
                <c:pt idx="25">
                  <c:v>1348.6199186781439</c:v>
                </c:pt>
                <c:pt idx="26">
                  <c:v>1241.1696467002562</c:v>
                </c:pt>
                <c:pt idx="27">
                  <c:v>1033.8185465204126</c:v>
                </c:pt>
                <c:pt idx="28">
                  <c:v>1009.0090973539257</c:v>
                </c:pt>
                <c:pt idx="29">
                  <c:v>1071.1360319080206</c:v>
                </c:pt>
                <c:pt idx="30">
                  <c:v>2847.4524552152511</c:v>
                </c:pt>
                <c:pt idx="31">
                  <c:v>3282.8422084523218</c:v>
                </c:pt>
                <c:pt idx="32">
                  <c:v>3026.7208936009688</c:v>
                </c:pt>
                <c:pt idx="33">
                  <c:v>3238.5223689714062</c:v>
                </c:pt>
                <c:pt idx="34">
                  <c:v>3947.1869457649946</c:v>
                </c:pt>
                <c:pt idx="35">
                  <c:v>5177.5031600760458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20-7A41-BFA7-4E72B36D6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976881"/>
        <c:axId val="37172220"/>
      </c:barChart>
      <c:catAx>
        <c:axId val="839768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Model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172220"/>
        <c:crosses val="autoZero"/>
        <c:auto val="1"/>
        <c:lblAlgn val="ctr"/>
        <c:lblOffset val="100"/>
        <c:noMultiLvlLbl val="0"/>
      </c:catAx>
      <c:valAx>
        <c:axId val="371722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9768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Active Subscribers &amp; Monthly Revenue — Base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 - Base'!$M$4</c:f>
              <c:strCache>
                <c:ptCount val="1"/>
                <c:pt idx="0">
                  <c:v>Active
Subs</c:v>
                </c:pt>
              </c:strCache>
            </c:strRef>
          </c:tx>
          <c:spPr>
            <a:ln w="2016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'Forecast - Base'!$A$5:$A$40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'Forecast - Base'!$M$5:$M$40</c:f>
              <c:numCache>
                <c:formatCode>#,##0</c:formatCode>
                <c:ptCount val="36"/>
                <c:pt idx="0">
                  <c:v>1.0285714285714285</c:v>
                </c:pt>
                <c:pt idx="1">
                  <c:v>1.6379972301711829</c:v>
                </c:pt>
                <c:pt idx="2">
                  <c:v>1.7192771293246558</c:v>
                </c:pt>
                <c:pt idx="3">
                  <c:v>1.5451475527398773</c:v>
                </c:pt>
                <c:pt idx="4">
                  <c:v>1.6126619326844296</c:v>
                </c:pt>
                <c:pt idx="5">
                  <c:v>1.7909196136200727</c:v>
                </c:pt>
                <c:pt idx="6">
                  <c:v>20.014793647860685</c:v>
                </c:pt>
                <c:pt idx="7">
                  <c:v>26.521245327682813</c:v>
                </c:pt>
                <c:pt idx="8">
                  <c:v>26.365682380795668</c:v>
                </c:pt>
                <c:pt idx="9">
                  <c:v>29.657634349201413</c:v>
                </c:pt>
                <c:pt idx="10">
                  <c:v>37.093541108591268</c:v>
                </c:pt>
                <c:pt idx="11">
                  <c:v>49.2326563711893</c:v>
                </c:pt>
                <c:pt idx="12">
                  <c:v>64.909961467549181</c:v>
                </c:pt>
                <c:pt idx="13">
                  <c:v>72.767401524729536</c:v>
                </c:pt>
                <c:pt idx="14">
                  <c:v>68.018820437605541</c:v>
                </c:pt>
                <c:pt idx="15">
                  <c:v>100.88354793204672</c:v>
                </c:pt>
                <c:pt idx="16">
                  <c:v>151.71517922181411</c:v>
                </c:pt>
                <c:pt idx="17">
                  <c:v>206.55417924231381</c:v>
                </c:pt>
                <c:pt idx="18">
                  <c:v>256.79792185580237</c:v>
                </c:pt>
                <c:pt idx="19">
                  <c:v>255.57849197067191</c:v>
                </c:pt>
                <c:pt idx="20">
                  <c:v>226.85455267839441</c:v>
                </c:pt>
                <c:pt idx="21">
                  <c:v>227.69413313474266</c:v>
                </c:pt>
                <c:pt idx="22">
                  <c:v>259.85507559751346</c:v>
                </c:pt>
                <c:pt idx="23">
                  <c:v>325.06729270954736</c:v>
                </c:pt>
                <c:pt idx="24">
                  <c:v>414.63208602984872</c:v>
                </c:pt>
                <c:pt idx="25">
                  <c:v>459.00846148481537</c:v>
                </c:pt>
                <c:pt idx="26">
                  <c:v>428.18797135070815</c:v>
                </c:pt>
                <c:pt idx="27">
                  <c:v>432.70506412866365</c:v>
                </c:pt>
                <c:pt idx="28">
                  <c:v>507.44735225233217</c:v>
                </c:pt>
                <c:pt idx="29">
                  <c:v>610.80884421790813</c:v>
                </c:pt>
                <c:pt idx="30">
                  <c:v>712.42038750708559</c:v>
                </c:pt>
                <c:pt idx="31">
                  <c:v>695.05528977103154</c:v>
                </c:pt>
                <c:pt idx="32">
                  <c:v>613.88724686388446</c:v>
                </c:pt>
                <c:pt idx="33">
                  <c:v>606.89824547977423</c:v>
                </c:pt>
                <c:pt idx="34">
                  <c:v>679.01693249889422</c:v>
                </c:pt>
                <c:pt idx="35">
                  <c:v>834.9158941311639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0E-3844-A87D-A9C01FCB1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6270663"/>
        <c:axId val="84996338"/>
      </c:lineChart>
      <c:catAx>
        <c:axId val="162706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Model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996338"/>
        <c:crosses val="autoZero"/>
        <c:auto val="1"/>
        <c:lblAlgn val="ctr"/>
        <c:lblOffset val="100"/>
        <c:noMultiLvlLbl val="0"/>
      </c:catAx>
      <c:valAx>
        <c:axId val="849963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Active Subscribers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2706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— Base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'Forecast - Base'!$O$4</c:f>
              <c:strCache>
                <c:ptCount val="1"/>
                <c:pt idx="0">
                  <c:v>Monthly
Revenue</c:v>
                </c:pt>
              </c:strCache>
            </c:strRef>
          </c:tx>
          <c:spPr>
            <a:solidFill>
              <a:srgbClr val="2E5F8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'Forecast - Base'!$A$5:$A$40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'Forecast - Base'!$O$5:$O$40</c:f>
              <c:numCache>
                <c:formatCode>\$#,##0</c:formatCode>
                <c:ptCount val="36"/>
                <c:pt idx="0">
                  <c:v>29.828571428571426</c:v>
                </c:pt>
                <c:pt idx="1">
                  <c:v>47.501919674964306</c:v>
                </c:pt>
                <c:pt idx="2">
                  <c:v>49.859036750415015</c:v>
                </c:pt>
                <c:pt idx="3">
                  <c:v>44.809279029456441</c:v>
                </c:pt>
                <c:pt idx="4">
                  <c:v>46.767196047848458</c:v>
                </c:pt>
                <c:pt idx="5">
                  <c:v>51.936668794982111</c:v>
                </c:pt>
                <c:pt idx="6">
                  <c:v>580.42901578795988</c:v>
                </c:pt>
                <c:pt idx="7">
                  <c:v>769.11611450280157</c:v>
                </c:pt>
                <c:pt idx="8">
                  <c:v>764.60478904307433</c:v>
                </c:pt>
                <c:pt idx="9">
                  <c:v>860.07139612684091</c:v>
                </c:pt>
                <c:pt idx="10">
                  <c:v>1075.7126921491467</c:v>
                </c:pt>
                <c:pt idx="11">
                  <c:v>1427.7470347644896</c:v>
                </c:pt>
                <c:pt idx="12">
                  <c:v>1882.3888825589263</c:v>
                </c:pt>
                <c:pt idx="13">
                  <c:v>2110.2546442171565</c:v>
                </c:pt>
                <c:pt idx="14">
                  <c:v>1972.5457926905606</c:v>
                </c:pt>
                <c:pt idx="15">
                  <c:v>2925.6228900293549</c:v>
                </c:pt>
                <c:pt idx="16">
                  <c:v>4399.7401974326094</c:v>
                </c:pt>
                <c:pt idx="17">
                  <c:v>5990.0711980271008</c:v>
                </c:pt>
                <c:pt idx="18">
                  <c:v>7447.1397338182687</c:v>
                </c:pt>
                <c:pt idx="19">
                  <c:v>7411.7762671494856</c:v>
                </c:pt>
                <c:pt idx="20">
                  <c:v>6578.7820276734383</c:v>
                </c:pt>
                <c:pt idx="21">
                  <c:v>6603.1298609075375</c:v>
                </c:pt>
                <c:pt idx="22">
                  <c:v>7535.7971923278901</c:v>
                </c:pt>
                <c:pt idx="23">
                  <c:v>9426.9514885768731</c:v>
                </c:pt>
                <c:pt idx="24">
                  <c:v>12024.330494865613</c:v>
                </c:pt>
                <c:pt idx="25">
                  <c:v>13311.245383059646</c:v>
                </c:pt>
                <c:pt idx="26">
                  <c:v>12417.451169170536</c:v>
                </c:pt>
                <c:pt idx="27">
                  <c:v>12548.446859731246</c:v>
                </c:pt>
                <c:pt idx="28">
                  <c:v>14715.973215317634</c:v>
                </c:pt>
                <c:pt idx="29">
                  <c:v>17713.456482319336</c:v>
                </c:pt>
                <c:pt idx="30">
                  <c:v>20660.191237705483</c:v>
                </c:pt>
                <c:pt idx="31">
                  <c:v>20156.603403359914</c:v>
                </c:pt>
                <c:pt idx="32">
                  <c:v>17802.730159052648</c:v>
                </c:pt>
                <c:pt idx="33">
                  <c:v>17600.049118913452</c:v>
                </c:pt>
                <c:pt idx="34">
                  <c:v>19691.491042467933</c:v>
                </c:pt>
                <c:pt idx="35">
                  <c:v>24212.560929803753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83-4F49-B8C6-0B21F79AD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589433"/>
        <c:axId val="96722659"/>
      </c:barChart>
      <c:catAx>
        <c:axId val="225894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Model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722659"/>
        <c:crosses val="autoZero"/>
        <c:auto val="1"/>
        <c:lblAlgn val="ctr"/>
        <c:lblOffset val="100"/>
        <c:noMultiLvlLbl val="0"/>
      </c:catAx>
      <c:valAx>
        <c:axId val="967226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5894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Active Subscribers &amp; Monthly Revenue — Expansion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 - Expansion'!$M$4</c:f>
              <c:strCache>
                <c:ptCount val="1"/>
                <c:pt idx="0">
                  <c:v>Active
Subs</c:v>
                </c:pt>
              </c:strCache>
            </c:strRef>
          </c:tx>
          <c:spPr>
            <a:ln w="2016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'Forecast - Expansion'!$A$5:$A$40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'Forecast - Expansion'!$M$5:$M$40</c:f>
              <c:numCache>
                <c:formatCode>#,##0</c:formatCode>
                <c:ptCount val="36"/>
                <c:pt idx="0">
                  <c:v>1.6500000000000001</c:v>
                </c:pt>
                <c:pt idx="1">
                  <c:v>2.7035865275373037</c:v>
                </c:pt>
                <c:pt idx="2">
                  <c:v>2.9312575473652354</c:v>
                </c:pt>
                <c:pt idx="3">
                  <c:v>16.821930129697687</c:v>
                </c:pt>
                <c:pt idx="4">
                  <c:v>34.789987207814619</c:v>
                </c:pt>
                <c:pt idx="5">
                  <c:v>53.51702822376248</c:v>
                </c:pt>
                <c:pt idx="6">
                  <c:v>70.422254793572904</c:v>
                </c:pt>
                <c:pt idx="7">
                  <c:v>72.77351623424866</c:v>
                </c:pt>
                <c:pt idx="8">
                  <c:v>66.77312797304397</c:v>
                </c:pt>
                <c:pt idx="9">
                  <c:v>146.39545341647684</c:v>
                </c:pt>
                <c:pt idx="10">
                  <c:v>249.45381420588305</c:v>
                </c:pt>
                <c:pt idx="11">
                  <c:v>386.13294331234334</c:v>
                </c:pt>
                <c:pt idx="12">
                  <c:v>550.20004861801067</c:v>
                </c:pt>
                <c:pt idx="13">
                  <c:v>645.57202659926406</c:v>
                </c:pt>
                <c:pt idx="14">
                  <c:v>627.23572994088477</c:v>
                </c:pt>
                <c:pt idx="15">
                  <c:v>650.76817203398343</c:v>
                </c:pt>
                <c:pt idx="16">
                  <c:v>771.86528082050472</c:v>
                </c:pt>
                <c:pt idx="17">
                  <c:v>935.44808669257145</c:v>
                </c:pt>
                <c:pt idx="18">
                  <c:v>1098.9404883337479</c:v>
                </c:pt>
                <c:pt idx="19">
                  <c:v>1088.7078914859717</c:v>
                </c:pt>
                <c:pt idx="20">
                  <c:v>980.19953072807664</c:v>
                </c:pt>
                <c:pt idx="21">
                  <c:v>987.00589383147542</c:v>
                </c:pt>
                <c:pt idx="22">
                  <c:v>1121.1701065525058</c:v>
                </c:pt>
                <c:pt idx="23">
                  <c:v>2456.2370707287901</c:v>
                </c:pt>
                <c:pt idx="24">
                  <c:v>3950.4520674661785</c:v>
                </c:pt>
                <c:pt idx="25">
                  <c:v>4861.3908260957542</c:v>
                </c:pt>
                <c:pt idx="26">
                  <c:v>4837.8915076611647</c:v>
                </c:pt>
                <c:pt idx="27">
                  <c:v>4354.136065726866</c:v>
                </c:pt>
                <c:pt idx="28">
                  <c:v>4412.3990570850328</c:v>
                </c:pt>
                <c:pt idx="29">
                  <c:v>4759.0061964715132</c:v>
                </c:pt>
                <c:pt idx="30">
                  <c:v>5195.636968468727</c:v>
                </c:pt>
                <c:pt idx="31">
                  <c:v>5006.6791348719671</c:v>
                </c:pt>
                <c:pt idx="32">
                  <c:v>4464.4766910314574</c:v>
                </c:pt>
                <c:pt idx="33">
                  <c:v>4367.6905414737503</c:v>
                </c:pt>
                <c:pt idx="34">
                  <c:v>4768.7677588303468</c:v>
                </c:pt>
                <c:pt idx="35">
                  <c:v>5844.829934105981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75-D94D-A375-1F7702B37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2306379"/>
        <c:axId val="66120143"/>
      </c:lineChart>
      <c:catAx>
        <c:axId val="3230637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Model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120143"/>
        <c:crosses val="autoZero"/>
        <c:auto val="1"/>
        <c:lblAlgn val="ctr"/>
        <c:lblOffset val="100"/>
        <c:noMultiLvlLbl val="0"/>
      </c:catAx>
      <c:valAx>
        <c:axId val="661201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Active Subscribers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3063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— Expansion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'Forecast - Expansion'!$O$4</c:f>
              <c:strCache>
                <c:ptCount val="1"/>
                <c:pt idx="0">
                  <c:v>Monthly
Revenue</c:v>
                </c:pt>
              </c:strCache>
            </c:strRef>
          </c:tx>
          <c:spPr>
            <a:solidFill>
              <a:srgbClr val="2E5F8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'Forecast - Expansion'!$A$5:$A$40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'Forecast - Expansion'!$O$5:$O$40</c:f>
              <c:numCache>
                <c:formatCode>\$#,##0</c:formatCode>
                <c:ptCount val="36"/>
                <c:pt idx="0">
                  <c:v>47.85</c:v>
                </c:pt>
                <c:pt idx="1">
                  <c:v>78.404009298581812</c:v>
                </c:pt>
                <c:pt idx="2">
                  <c:v>85.006468873591828</c:v>
                </c:pt>
                <c:pt idx="3">
                  <c:v>487.83597376123294</c:v>
                </c:pt>
                <c:pt idx="4">
                  <c:v>1008.909629026624</c:v>
                </c:pt>
                <c:pt idx="5">
                  <c:v>1551.9938184891118</c:v>
                </c:pt>
                <c:pt idx="6">
                  <c:v>2042.2453890136142</c:v>
                </c:pt>
                <c:pt idx="7">
                  <c:v>2110.4319707932113</c:v>
                </c:pt>
                <c:pt idx="8">
                  <c:v>1936.4207112182751</c:v>
                </c:pt>
                <c:pt idx="9">
                  <c:v>4245.4681490778285</c:v>
                </c:pt>
                <c:pt idx="10">
                  <c:v>7234.1606119706084</c:v>
                </c:pt>
                <c:pt idx="11">
                  <c:v>11197.855356057957</c:v>
                </c:pt>
                <c:pt idx="12">
                  <c:v>15955.801409922309</c:v>
                </c:pt>
                <c:pt idx="13">
                  <c:v>18721.588771378658</c:v>
                </c:pt>
                <c:pt idx="14">
                  <c:v>18189.836168285659</c:v>
                </c:pt>
                <c:pt idx="15">
                  <c:v>18872.276988985519</c:v>
                </c:pt>
                <c:pt idx="16">
                  <c:v>22384.093143794638</c:v>
                </c:pt>
                <c:pt idx="17">
                  <c:v>27127.994514084574</c:v>
                </c:pt>
                <c:pt idx="18">
                  <c:v>42858.679045016172</c:v>
                </c:pt>
                <c:pt idx="19">
                  <c:v>42459.607767952897</c:v>
                </c:pt>
                <c:pt idx="20">
                  <c:v>38227.781698394989</c:v>
                </c:pt>
                <c:pt idx="21">
                  <c:v>38493.229859427542</c:v>
                </c:pt>
                <c:pt idx="22">
                  <c:v>43725.634155547727</c:v>
                </c:pt>
                <c:pt idx="23">
                  <c:v>95793.24575842281</c:v>
                </c:pt>
                <c:pt idx="24">
                  <c:v>154067.63063118097</c:v>
                </c:pt>
                <c:pt idx="25">
                  <c:v>189594.2422177344</c:v>
                </c:pt>
                <c:pt idx="26">
                  <c:v>188677.76879878543</c:v>
                </c:pt>
                <c:pt idx="27">
                  <c:v>169811.30656334778</c:v>
                </c:pt>
                <c:pt idx="28">
                  <c:v>172083.56322631627</c:v>
                </c:pt>
                <c:pt idx="29">
                  <c:v>185601.24166238902</c:v>
                </c:pt>
                <c:pt idx="30">
                  <c:v>202629.84177028036</c:v>
                </c:pt>
                <c:pt idx="31">
                  <c:v>195260.48626000673</c:v>
                </c:pt>
                <c:pt idx="32">
                  <c:v>174114.59095022685</c:v>
                </c:pt>
                <c:pt idx="33">
                  <c:v>170339.93111747626</c:v>
                </c:pt>
                <c:pt idx="34">
                  <c:v>185981.94259438352</c:v>
                </c:pt>
                <c:pt idx="35">
                  <c:v>227948.36743013325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C-4C47-81C1-4D3884A19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74798"/>
        <c:axId val="283021"/>
      </c:barChart>
      <c:catAx>
        <c:axId val="135747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Model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3021"/>
        <c:crosses val="autoZero"/>
        <c:auto val="1"/>
        <c:lblAlgn val="ctr"/>
        <c:lblOffset val="100"/>
        <c:noMultiLvlLbl val="0"/>
      </c:catAx>
      <c:valAx>
        <c:axId val="2830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5747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Exit ARR by Scenario and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'Scenario Summary'!$E$5</c:f>
              <c:strCache>
                <c:ptCount val="1"/>
                <c:pt idx="0">
                  <c:v>Year 1 Exit ARR</c:v>
                </c:pt>
              </c:strCache>
            </c:strRef>
          </c:tx>
          <c:spPr>
            <a:solidFill>
              <a:srgbClr val="8FAAD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Summary'!$A$6:$A$8</c:f>
              <c:strCache>
                <c:ptCount val="3"/>
                <c:pt idx="0">
                  <c:v>Conservative</c:v>
                </c:pt>
                <c:pt idx="1">
                  <c:v>Base</c:v>
                </c:pt>
                <c:pt idx="2">
                  <c:v>Expansion</c:v>
                </c:pt>
              </c:strCache>
            </c:strRef>
          </c:cat>
          <c:val>
            <c:numRef>
              <c:f>'Scenario Summary'!$E$6:$E$8</c:f>
              <c:numCache>
                <c:formatCode>\$#,##0</c:formatCode>
                <c:ptCount val="3"/>
                <c:pt idx="0">
                  <c:v>383.17718782425925</c:v>
                </c:pt>
                <c:pt idx="1">
                  <c:v>17132.964417173876</c:v>
                </c:pt>
                <c:pt idx="2">
                  <c:v>134374.26427269547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2-FD40-88B8-E34368DAAF60}"/>
            </c:ext>
          </c:extLst>
        </c:ser>
        <c:ser>
          <c:idx val="1"/>
          <c:order val="1"/>
          <c:tx>
            <c:strRef>
              <c:f>'Scenario Summary'!$F$5</c:f>
              <c:strCache>
                <c:ptCount val="1"/>
                <c:pt idx="0">
                  <c:v>Year 2 Exit ARR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Summary'!$A$6:$A$8</c:f>
              <c:strCache>
                <c:ptCount val="3"/>
                <c:pt idx="0">
                  <c:v>Conservative</c:v>
                </c:pt>
                <c:pt idx="1">
                  <c:v>Base</c:v>
                </c:pt>
                <c:pt idx="2">
                  <c:v>Expansion</c:v>
                </c:pt>
              </c:strCache>
            </c:strRef>
          </c:cat>
          <c:val>
            <c:numRef>
              <c:f>'Scenario Summary'!$F$6:$F$8</c:f>
              <c:numCache>
                <c:formatCode>\$#,##0</c:formatCode>
                <c:ptCount val="3"/>
                <c:pt idx="0">
                  <c:v>11071.884741308699</c:v>
                </c:pt>
                <c:pt idx="1">
                  <c:v>113123.41786292248</c:v>
                </c:pt>
                <c:pt idx="2">
                  <c:v>1149518.9491010737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12-FD40-88B8-E34368DAAF60}"/>
            </c:ext>
          </c:extLst>
        </c:ser>
        <c:ser>
          <c:idx val="2"/>
          <c:order val="2"/>
          <c:tx>
            <c:strRef>
              <c:f>'Scenario Summary'!$G$5</c:f>
              <c:strCache>
                <c:ptCount val="1"/>
                <c:pt idx="0">
                  <c:v>Year 3 Exit ARR</c:v>
                </c:pt>
              </c:strCache>
            </c:strRef>
          </c:tx>
          <c:spPr>
            <a:solidFill>
              <a:srgbClr val="1F4E7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Summary'!$A$6:$A$8</c:f>
              <c:strCache>
                <c:ptCount val="3"/>
                <c:pt idx="0">
                  <c:v>Conservative</c:v>
                </c:pt>
                <c:pt idx="1">
                  <c:v>Base</c:v>
                </c:pt>
                <c:pt idx="2">
                  <c:v>Expansion</c:v>
                </c:pt>
              </c:strCache>
            </c:strRef>
          </c:cat>
          <c:val>
            <c:numRef>
              <c:f>'Scenario Summary'!$G$6:$G$8</c:f>
              <c:numCache>
                <c:formatCode>\$#,##0</c:formatCode>
                <c:ptCount val="3"/>
                <c:pt idx="0">
                  <c:v>62130.037920912553</c:v>
                </c:pt>
                <c:pt idx="1">
                  <c:v>290550.731157645</c:v>
                </c:pt>
                <c:pt idx="2">
                  <c:v>2735380.4091615989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12-FD40-88B8-E34368DAA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231101"/>
        <c:axId val="9683623"/>
      </c:barChart>
      <c:catAx>
        <c:axId val="822311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Scenario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83623"/>
        <c:crosses val="autoZero"/>
        <c:auto val="1"/>
        <c:lblAlgn val="ctr"/>
        <c:lblOffset val="100"/>
        <c:noMultiLvlLbl val="0"/>
      </c:catAx>
      <c:valAx>
        <c:axId val="96836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Exit ARR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2311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5</xdr:col>
      <xdr:colOff>480960</xdr:colOff>
      <xdr:row>26</xdr:row>
      <xdr:rowOff>11520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10</xdr:row>
      <xdr:rowOff>0</xdr:rowOff>
    </xdr:from>
    <xdr:to>
      <xdr:col>12</xdr:col>
      <xdr:colOff>480960</xdr:colOff>
      <xdr:row>26</xdr:row>
      <xdr:rowOff>11520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29</xdr:row>
      <xdr:rowOff>0</xdr:rowOff>
    </xdr:from>
    <xdr:to>
      <xdr:col>5</xdr:col>
      <xdr:colOff>480960</xdr:colOff>
      <xdr:row>45</xdr:row>
      <xdr:rowOff>11520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29</xdr:row>
      <xdr:rowOff>0</xdr:rowOff>
    </xdr:from>
    <xdr:to>
      <xdr:col>12</xdr:col>
      <xdr:colOff>480960</xdr:colOff>
      <xdr:row>45</xdr:row>
      <xdr:rowOff>11520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5</xdr:col>
      <xdr:colOff>1857960</xdr:colOff>
      <xdr:row>38</xdr:row>
      <xdr:rowOff>11880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59</xdr:row>
      <xdr:rowOff>0</xdr:rowOff>
    </xdr:from>
    <xdr:to>
      <xdr:col>5</xdr:col>
      <xdr:colOff>437920</xdr:colOff>
      <xdr:row>76</xdr:row>
      <xdr:rowOff>1080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4</xdr:col>
      <xdr:colOff>589320</xdr:colOff>
      <xdr:row>35</xdr:row>
      <xdr:rowOff>1080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42</xdr:row>
      <xdr:rowOff>0</xdr:rowOff>
    </xdr:from>
    <xdr:to>
      <xdr:col>6</xdr:col>
      <xdr:colOff>1080720</xdr:colOff>
      <xdr:row>59</xdr:row>
      <xdr:rowOff>1080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42</xdr:row>
      <xdr:rowOff>0</xdr:rowOff>
    </xdr:from>
    <xdr:to>
      <xdr:col>17</xdr:col>
      <xdr:colOff>1049440</xdr:colOff>
      <xdr:row>59</xdr:row>
      <xdr:rowOff>1080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42</xdr:row>
      <xdr:rowOff>0</xdr:rowOff>
    </xdr:from>
    <xdr:to>
      <xdr:col>11</xdr:col>
      <xdr:colOff>166320</xdr:colOff>
      <xdr:row>59</xdr:row>
      <xdr:rowOff>1080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42</xdr:row>
      <xdr:rowOff>0</xdr:rowOff>
    </xdr:from>
    <xdr:to>
      <xdr:col>21</xdr:col>
      <xdr:colOff>541440</xdr:colOff>
      <xdr:row>59</xdr:row>
      <xdr:rowOff>1080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42</xdr:row>
      <xdr:rowOff>0</xdr:rowOff>
    </xdr:from>
    <xdr:to>
      <xdr:col>11</xdr:col>
      <xdr:colOff>166320</xdr:colOff>
      <xdr:row>59</xdr:row>
      <xdr:rowOff>1080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42</xdr:row>
      <xdr:rowOff>0</xdr:rowOff>
    </xdr:from>
    <xdr:to>
      <xdr:col>21</xdr:col>
      <xdr:colOff>541440</xdr:colOff>
      <xdr:row>59</xdr:row>
      <xdr:rowOff>1080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7</xdr:col>
      <xdr:colOff>322560</xdr:colOff>
      <xdr:row>32</xdr:row>
      <xdr:rowOff>170640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8"/>
  <sheetViews>
    <sheetView showGridLines="0" zoomScaleNormal="100" workbookViewId="0">
      <selection sqref="A1:L1"/>
    </sheetView>
  </sheetViews>
  <sheetFormatPr baseColWidth="10" defaultColWidth="8.6640625" defaultRowHeight="15" x14ac:dyDescent="0.2"/>
  <cols>
    <col min="1" max="12" width="16" customWidth="1"/>
  </cols>
  <sheetData>
    <row r="1" spans="1:12" ht="25.5" customHeight="1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5.75" customHeight="1" x14ac:dyDescent="0.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1:12" ht="21.75" customHeight="1" x14ac:dyDescent="0.2">
      <c r="A4" s="11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15.75" customHeight="1" x14ac:dyDescent="0.2">
      <c r="A5" s="10" t="s">
        <v>3</v>
      </c>
      <c r="B5" s="10"/>
      <c r="C5" s="10"/>
      <c r="D5" s="10" t="s">
        <v>4</v>
      </c>
      <c r="E5" s="10"/>
      <c r="F5" s="10"/>
      <c r="G5" s="10" t="s">
        <v>5</v>
      </c>
      <c r="H5" s="10"/>
      <c r="I5" s="10"/>
      <c r="J5" s="10" t="s">
        <v>6</v>
      </c>
      <c r="K5" s="10"/>
      <c r="L5" s="10"/>
    </row>
    <row r="6" spans="1:12" ht="30" customHeight="1" x14ac:dyDescent="0.25">
      <c r="A6" s="9">
        <f>'Scenario Summary'!$G$7</f>
        <v>290550.731157645</v>
      </c>
      <c r="B6" s="9"/>
      <c r="C6" s="9"/>
      <c r="D6" s="8">
        <f>MAX('Forecast - Base'!$M$5:$M$40)</f>
        <v>834.9158941311639</v>
      </c>
      <c r="E6" s="8"/>
      <c r="F6" s="8"/>
      <c r="G6" s="7">
        <f>SUM('Forecast - Base'!$S$5:$S$40)/SUM('Forecast - Base'!$O$5:$O$40)</f>
        <v>0.99448275862068958</v>
      </c>
      <c r="H6" s="7"/>
      <c r="I6" s="7"/>
      <c r="J6" s="9">
        <f>SUM('Forecast - Base'!$O$5:$O$40)</f>
        <v>272887.11338527699</v>
      </c>
      <c r="K6" s="9"/>
      <c r="L6" s="9"/>
    </row>
    <row r="8" spans="1:12" ht="25.5" customHeight="1" x14ac:dyDescent="0.2">
      <c r="A8" s="6" t="s">
        <v>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10" spans="1:12" ht="21.75" customHeight="1" x14ac:dyDescent="0.2">
      <c r="A10" s="11" t="s">
        <v>8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29" spans="1:12" ht="21.75" customHeight="1" x14ac:dyDescent="0.2">
      <c r="A29" s="11" t="s">
        <v>9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48" spans="1:12" ht="27.75" customHeight="1" x14ac:dyDescent="0.2">
      <c r="A48" s="6" t="s">
        <v>10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</sheetData>
  <mergeCells count="15">
    <mergeCell ref="A10:L10"/>
    <mergeCell ref="A29:L29"/>
    <mergeCell ref="A48:L48"/>
    <mergeCell ref="A6:C6"/>
    <mergeCell ref="D6:F6"/>
    <mergeCell ref="G6:I6"/>
    <mergeCell ref="J6:L6"/>
    <mergeCell ref="A8:L8"/>
    <mergeCell ref="A1:L1"/>
    <mergeCell ref="A2:L2"/>
    <mergeCell ref="A4:L4"/>
    <mergeCell ref="A5:C5"/>
    <mergeCell ref="D5:F5"/>
    <mergeCell ref="G5:I5"/>
    <mergeCell ref="J5:L5"/>
  </mergeCells>
  <pageMargins left="0.4" right="0.4" top="0.5" bottom="0.5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3"/>
  <sheetViews>
    <sheetView showGridLines="0" tabSelected="1" zoomScaleNormal="100" workbookViewId="0">
      <selection sqref="A1:H1"/>
    </sheetView>
  </sheetViews>
  <sheetFormatPr baseColWidth="10" defaultColWidth="8.6640625" defaultRowHeight="15" x14ac:dyDescent="0.2"/>
  <cols>
    <col min="1" max="1" width="22" customWidth="1"/>
    <col min="2" max="2" width="46" customWidth="1"/>
    <col min="3" max="3" width="4" customWidth="1"/>
    <col min="4" max="4" width="22" customWidth="1"/>
    <col min="5" max="5" width="46" customWidth="1"/>
    <col min="6" max="8" width="4" customWidth="1"/>
  </cols>
  <sheetData>
    <row r="1" spans="1:8" ht="25.5" customHeight="1" x14ac:dyDescent="0.2">
      <c r="A1" s="13" t="s">
        <v>11</v>
      </c>
      <c r="B1" s="13"/>
      <c r="C1" s="13"/>
      <c r="D1" s="13"/>
      <c r="E1" s="13"/>
      <c r="F1" s="13"/>
      <c r="G1" s="13"/>
      <c r="H1" s="13"/>
    </row>
    <row r="2" spans="1:8" ht="15.75" customHeight="1" x14ac:dyDescent="0.2">
      <c r="A2" s="12" t="s">
        <v>12</v>
      </c>
      <c r="B2" s="12"/>
      <c r="C2" s="12"/>
      <c r="D2" s="12"/>
      <c r="E2" s="12"/>
      <c r="F2" s="12"/>
      <c r="G2" s="12"/>
      <c r="H2" s="12"/>
    </row>
    <row r="4" spans="1:8" ht="21.75" customHeight="1" x14ac:dyDescent="0.2">
      <c r="A4" s="11" t="s">
        <v>13</v>
      </c>
      <c r="B4" s="11"/>
      <c r="C4" s="11"/>
      <c r="D4" s="11"/>
      <c r="E4" s="11"/>
      <c r="F4" s="11"/>
      <c r="G4" s="11"/>
      <c r="H4" s="11"/>
    </row>
    <row r="5" spans="1:8" ht="60" customHeight="1" x14ac:dyDescent="0.2">
      <c r="A5" s="6" t="s">
        <v>14</v>
      </c>
      <c r="B5" s="6"/>
      <c r="C5" s="6"/>
      <c r="D5" s="6"/>
      <c r="E5" s="6"/>
      <c r="F5" s="6"/>
      <c r="G5" s="6"/>
      <c r="H5" s="6"/>
    </row>
    <row r="7" spans="1:8" ht="21.75" customHeight="1" x14ac:dyDescent="0.2">
      <c r="A7" s="11" t="s">
        <v>15</v>
      </c>
      <c r="B7" s="11"/>
      <c r="C7" s="11"/>
      <c r="D7" s="11"/>
      <c r="E7" s="11"/>
      <c r="F7" s="11"/>
      <c r="G7" s="11"/>
      <c r="H7" s="11"/>
    </row>
    <row r="8" spans="1:8" ht="27.75" customHeight="1" x14ac:dyDescent="0.2">
      <c r="A8" s="14" t="s">
        <v>16</v>
      </c>
      <c r="B8" s="15" t="s">
        <v>17</v>
      </c>
    </row>
    <row r="9" spans="1:8" ht="27.75" customHeight="1" x14ac:dyDescent="0.2">
      <c r="A9" s="14" t="s">
        <v>18</v>
      </c>
      <c r="B9" s="15" t="s">
        <v>19</v>
      </c>
    </row>
    <row r="10" spans="1:8" ht="27.75" customHeight="1" x14ac:dyDescent="0.2">
      <c r="A10" s="14" t="s">
        <v>20</v>
      </c>
      <c r="B10" s="15" t="s">
        <v>21</v>
      </c>
    </row>
    <row r="11" spans="1:8" ht="27.75" customHeight="1" x14ac:dyDescent="0.2">
      <c r="A11" s="14" t="s">
        <v>22</v>
      </c>
      <c r="B11" s="15" t="s">
        <v>23</v>
      </c>
    </row>
    <row r="12" spans="1:8" ht="27.75" customHeight="1" x14ac:dyDescent="0.2">
      <c r="A12" s="14" t="s">
        <v>24</v>
      </c>
      <c r="B12" s="15" t="s">
        <v>25</v>
      </c>
    </row>
    <row r="13" spans="1:8" ht="27.75" customHeight="1" x14ac:dyDescent="0.2">
      <c r="A13" s="14" t="s">
        <v>26</v>
      </c>
      <c r="B13" s="15" t="s">
        <v>27</v>
      </c>
    </row>
    <row r="14" spans="1:8" ht="27.75" customHeight="1" x14ac:dyDescent="0.2">
      <c r="A14" s="14" t="s">
        <v>28</v>
      </c>
      <c r="B14" s="15" t="s">
        <v>29</v>
      </c>
    </row>
    <row r="15" spans="1:8" ht="27.75" customHeight="1" x14ac:dyDescent="0.2">
      <c r="A15" s="14" t="s">
        <v>30</v>
      </c>
      <c r="B15" s="15" t="s">
        <v>31</v>
      </c>
    </row>
    <row r="17" spans="1:8" ht="21.75" customHeight="1" x14ac:dyDescent="0.2">
      <c r="A17" s="11" t="s">
        <v>32</v>
      </c>
      <c r="B17" s="11"/>
      <c r="C17" s="11"/>
      <c r="D17" s="11"/>
      <c r="E17" s="11"/>
      <c r="F17" s="11"/>
      <c r="G17" s="11"/>
      <c r="H17" s="11"/>
    </row>
    <row r="18" spans="1:8" x14ac:dyDescent="0.2">
      <c r="A18" s="14" t="s">
        <v>33</v>
      </c>
    </row>
    <row r="19" spans="1:8" x14ac:dyDescent="0.2">
      <c r="B19" s="5" t="s">
        <v>34</v>
      </c>
      <c r="C19" s="5"/>
      <c r="D19" s="4" t="s">
        <v>35</v>
      </c>
      <c r="E19" s="4"/>
      <c r="F19" s="4"/>
      <c r="G19" s="4"/>
    </row>
    <row r="20" spans="1:8" x14ac:dyDescent="0.2">
      <c r="B20" s="3" t="s">
        <v>36</v>
      </c>
      <c r="C20" s="3"/>
      <c r="D20" s="4" t="s">
        <v>37</v>
      </c>
      <c r="E20" s="4"/>
      <c r="F20" s="4"/>
      <c r="G20" s="4"/>
    </row>
    <row r="21" spans="1:8" x14ac:dyDescent="0.2">
      <c r="B21" s="2" t="s">
        <v>38</v>
      </c>
      <c r="C21" s="2"/>
      <c r="D21" s="4" t="s">
        <v>39</v>
      </c>
      <c r="E21" s="4"/>
      <c r="F21" s="4"/>
      <c r="G21" s="4"/>
    </row>
    <row r="23" spans="1:8" ht="39.75" customHeight="1" x14ac:dyDescent="0.2">
      <c r="A23" s="6" t="s">
        <v>40</v>
      </c>
      <c r="B23" s="6"/>
      <c r="C23" s="6"/>
      <c r="D23" s="6"/>
      <c r="E23" s="6"/>
      <c r="F23" s="6"/>
      <c r="G23" s="6"/>
      <c r="H23" s="6"/>
    </row>
  </sheetData>
  <mergeCells count="13">
    <mergeCell ref="B21:C21"/>
    <mergeCell ref="D21:G21"/>
    <mergeCell ref="A23:H23"/>
    <mergeCell ref="A17:H17"/>
    <mergeCell ref="B19:C19"/>
    <mergeCell ref="D19:G19"/>
    <mergeCell ref="B20:C20"/>
    <mergeCell ref="D20:G20"/>
    <mergeCell ref="A1:H1"/>
    <mergeCell ref="A2:H2"/>
    <mergeCell ref="A4:H4"/>
    <mergeCell ref="A5:H5"/>
    <mergeCell ref="A7:H7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36"/>
  <sheetViews>
    <sheetView showGridLines="0" zoomScaleNormal="100" workbookViewId="0">
      <selection activeCell="D36" sqref="D36:G36"/>
    </sheetView>
  </sheetViews>
  <sheetFormatPr baseColWidth="10" defaultColWidth="8.6640625" defaultRowHeight="15" x14ac:dyDescent="0.2"/>
  <cols>
    <col min="1" max="1" width="46" customWidth="1"/>
    <col min="2" max="2" width="3" customWidth="1"/>
    <col min="3" max="5" width="16" customWidth="1"/>
    <col min="6" max="6" width="3" customWidth="1"/>
    <col min="7" max="7" width="46" customWidth="1"/>
  </cols>
  <sheetData>
    <row r="1" spans="1:7" ht="25.5" customHeight="1" x14ac:dyDescent="0.2">
      <c r="A1" s="13" t="s">
        <v>41</v>
      </c>
      <c r="B1" s="13"/>
      <c r="C1" s="13"/>
      <c r="D1" s="13"/>
      <c r="E1" s="13"/>
      <c r="F1" s="13"/>
      <c r="G1" s="13"/>
    </row>
    <row r="2" spans="1:7" ht="15.75" customHeight="1" x14ac:dyDescent="0.2">
      <c r="A2" s="12" t="s">
        <v>42</v>
      </c>
      <c r="B2" s="12"/>
      <c r="C2" s="12"/>
      <c r="D2" s="12"/>
      <c r="E2" s="12"/>
      <c r="F2" s="12"/>
      <c r="G2" s="12"/>
    </row>
    <row r="4" spans="1:7" ht="21.75" customHeight="1" x14ac:dyDescent="0.2">
      <c r="A4" s="11" t="s">
        <v>43</v>
      </c>
      <c r="B4" s="11"/>
      <c r="C4" s="11"/>
      <c r="D4" s="11"/>
      <c r="E4" s="11"/>
      <c r="F4" s="11"/>
      <c r="G4" s="11"/>
    </row>
    <row r="5" spans="1:7" x14ac:dyDescent="0.2">
      <c r="A5" s="14" t="s">
        <v>44</v>
      </c>
      <c r="C5" s="1">
        <v>46266</v>
      </c>
      <c r="D5" s="1"/>
      <c r="E5" s="1"/>
      <c r="G5" s="16" t="s">
        <v>45</v>
      </c>
    </row>
    <row r="6" spans="1:7" x14ac:dyDescent="0.2">
      <c r="A6" s="14" t="s">
        <v>46</v>
      </c>
      <c r="C6" s="5">
        <v>36</v>
      </c>
      <c r="D6" s="5"/>
      <c r="E6" s="5"/>
    </row>
    <row r="8" spans="1:7" ht="21.75" customHeight="1" x14ac:dyDescent="0.2">
      <c r="A8" s="11" t="s">
        <v>47</v>
      </c>
      <c r="B8" s="11"/>
      <c r="C8" s="11"/>
      <c r="D8" s="11"/>
      <c r="E8" s="11"/>
      <c r="F8" s="11"/>
      <c r="G8" s="11"/>
    </row>
    <row r="9" spans="1:7" ht="19.5" customHeight="1" x14ac:dyDescent="0.2">
      <c r="A9" s="14" t="s">
        <v>48</v>
      </c>
      <c r="C9" s="17" t="s">
        <v>49</v>
      </c>
      <c r="D9" s="17" t="s">
        <v>50</v>
      </c>
      <c r="E9" s="17" t="s">
        <v>51</v>
      </c>
      <c r="G9" s="18" t="s">
        <v>52</v>
      </c>
    </row>
    <row r="10" spans="1:7" ht="33.75" customHeight="1" x14ac:dyDescent="0.2">
      <c r="A10" s="19" t="s">
        <v>53</v>
      </c>
      <c r="C10" s="20">
        <v>29</v>
      </c>
      <c r="D10" s="20">
        <v>29</v>
      </c>
      <c r="E10" s="20">
        <v>29</v>
      </c>
      <c r="G10" s="21" t="s">
        <v>54</v>
      </c>
    </row>
    <row r="11" spans="1:7" ht="33.75" customHeight="1" x14ac:dyDescent="0.2">
      <c r="A11" s="19" t="s">
        <v>55</v>
      </c>
      <c r="C11" s="22">
        <v>99</v>
      </c>
      <c r="D11" s="22">
        <v>99</v>
      </c>
      <c r="E11" s="22">
        <v>19</v>
      </c>
      <c r="G11" s="21" t="s">
        <v>56</v>
      </c>
    </row>
    <row r="12" spans="1:7" ht="33.75" customHeight="1" x14ac:dyDescent="0.2">
      <c r="A12" s="19" t="s">
        <v>57</v>
      </c>
      <c r="C12" s="20">
        <v>29</v>
      </c>
      <c r="D12" s="20">
        <v>29</v>
      </c>
      <c r="E12" s="20">
        <v>39</v>
      </c>
      <c r="G12" s="21" t="s">
        <v>58</v>
      </c>
    </row>
    <row r="14" spans="1:7" ht="21.75" customHeight="1" x14ac:dyDescent="0.2">
      <c r="A14" s="11" t="s">
        <v>59</v>
      </c>
      <c r="B14" s="11"/>
      <c r="C14" s="11"/>
      <c r="D14" s="11"/>
      <c r="E14" s="11"/>
      <c r="F14" s="11"/>
      <c r="G14" s="11"/>
    </row>
    <row r="15" spans="1:7" ht="19.5" customHeight="1" x14ac:dyDescent="0.2">
      <c r="A15" s="14" t="s">
        <v>48</v>
      </c>
      <c r="C15" s="17" t="s">
        <v>49</v>
      </c>
      <c r="D15" s="17" t="s">
        <v>50</v>
      </c>
      <c r="E15" s="17" t="s">
        <v>51</v>
      </c>
      <c r="G15" s="18" t="s">
        <v>52</v>
      </c>
    </row>
    <row r="16" spans="1:7" ht="33.75" customHeight="1" x14ac:dyDescent="0.2">
      <c r="A16" s="19" t="s">
        <v>60</v>
      </c>
      <c r="C16" s="23">
        <v>2.5000000000000001E-2</v>
      </c>
      <c r="D16" s="23">
        <v>0.03</v>
      </c>
      <c r="E16" s="23">
        <v>3.5000000000000003E-2</v>
      </c>
      <c r="G16" s="21" t="s">
        <v>61</v>
      </c>
    </row>
    <row r="17" spans="1:7" ht="33.75" customHeight="1" x14ac:dyDescent="0.2">
      <c r="A17" s="19" t="s">
        <v>62</v>
      </c>
      <c r="C17" s="24">
        <v>0.15</v>
      </c>
      <c r="D17" s="24">
        <v>0.2</v>
      </c>
      <c r="E17" s="24">
        <v>0.3</v>
      </c>
      <c r="G17" s="21" t="s">
        <v>63</v>
      </c>
    </row>
    <row r="18" spans="1:7" ht="33.75" customHeight="1" x14ac:dyDescent="0.2">
      <c r="A18" s="19" t="s">
        <v>64</v>
      </c>
      <c r="C18" s="24">
        <v>0.4</v>
      </c>
      <c r="D18" s="24">
        <v>0.5</v>
      </c>
      <c r="E18" s="24">
        <v>0.55000000000000004</v>
      </c>
      <c r="G18" s="21" t="s">
        <v>65</v>
      </c>
    </row>
    <row r="19" spans="1:7" ht="33.75" customHeight="1" x14ac:dyDescent="0.2">
      <c r="A19" s="19" t="s">
        <v>66</v>
      </c>
      <c r="C19" s="25">
        <v>0.18</v>
      </c>
      <c r="D19" s="25">
        <v>0.2</v>
      </c>
      <c r="E19" s="25">
        <v>0.25</v>
      </c>
      <c r="G19" s="21" t="s">
        <v>67</v>
      </c>
    </row>
    <row r="21" spans="1:7" ht="21.75" customHeight="1" x14ac:dyDescent="0.2">
      <c r="A21" s="11" t="s">
        <v>68</v>
      </c>
      <c r="B21" s="11"/>
      <c r="C21" s="11"/>
      <c r="D21" s="11"/>
      <c r="E21" s="11"/>
      <c r="F21" s="11"/>
      <c r="G21" s="11"/>
    </row>
    <row r="22" spans="1:7" ht="19.5" customHeight="1" x14ac:dyDescent="0.2">
      <c r="A22" s="14" t="s">
        <v>48</v>
      </c>
      <c r="C22" s="17" t="s">
        <v>49</v>
      </c>
      <c r="D22" s="17" t="s">
        <v>50</v>
      </c>
      <c r="E22" s="17" t="s">
        <v>51</v>
      </c>
      <c r="G22" s="18" t="s">
        <v>52</v>
      </c>
    </row>
    <row r="23" spans="1:7" ht="33.75" customHeight="1" x14ac:dyDescent="0.2">
      <c r="A23" s="19" t="s">
        <v>69</v>
      </c>
      <c r="C23" s="25">
        <v>0.38</v>
      </c>
      <c r="D23" s="25">
        <v>0.33</v>
      </c>
      <c r="E23" s="25">
        <v>0.3</v>
      </c>
      <c r="G23" s="21" t="s">
        <v>70</v>
      </c>
    </row>
    <row r="24" spans="1:7" ht="33.75" customHeight="1" x14ac:dyDescent="0.2">
      <c r="A24" s="19" t="s">
        <v>71</v>
      </c>
      <c r="C24" s="23">
        <v>1.4999999999999999E-2</v>
      </c>
      <c r="D24" s="23">
        <v>0.02</v>
      </c>
      <c r="E24" s="23">
        <v>0.03</v>
      </c>
      <c r="G24" s="21" t="s">
        <v>72</v>
      </c>
    </row>
    <row r="25" spans="1:7" ht="33.75" customHeight="1" x14ac:dyDescent="0.2">
      <c r="A25" s="19" t="s">
        <v>73</v>
      </c>
      <c r="C25" s="24">
        <v>0.06</v>
      </c>
      <c r="D25" s="24">
        <v>0.08</v>
      </c>
      <c r="E25" s="24">
        <v>0.12</v>
      </c>
      <c r="G25" s="21" t="s">
        <v>74</v>
      </c>
    </row>
    <row r="27" spans="1:7" ht="21.75" customHeight="1" x14ac:dyDescent="0.2">
      <c r="A27" s="11" t="s">
        <v>75</v>
      </c>
      <c r="B27" s="11"/>
      <c r="C27" s="11"/>
      <c r="D27" s="11"/>
      <c r="E27" s="11"/>
      <c r="F27" s="11"/>
      <c r="G27" s="11"/>
    </row>
    <row r="28" spans="1:7" ht="19.5" customHeight="1" x14ac:dyDescent="0.2">
      <c r="A28" s="14" t="s">
        <v>48</v>
      </c>
      <c r="C28" s="17" t="s">
        <v>49</v>
      </c>
      <c r="D28" s="17" t="s">
        <v>50</v>
      </c>
      <c r="E28" s="17" t="s">
        <v>51</v>
      </c>
      <c r="G28" s="18" t="s">
        <v>52</v>
      </c>
    </row>
    <row r="29" spans="1:7" ht="33.75" customHeight="1" x14ac:dyDescent="0.2">
      <c r="A29" s="19" t="s">
        <v>76</v>
      </c>
      <c r="C29" s="22">
        <v>10</v>
      </c>
      <c r="D29" s="22">
        <v>10</v>
      </c>
      <c r="E29" s="22">
        <v>14</v>
      </c>
      <c r="G29" s="21" t="s">
        <v>77</v>
      </c>
    </row>
    <row r="30" spans="1:7" ht="33.75" customHeight="1" x14ac:dyDescent="0.2">
      <c r="A30" s="19" t="s">
        <v>78</v>
      </c>
      <c r="C30" s="26">
        <v>1.6E-2</v>
      </c>
      <c r="D30" s="26">
        <v>1.6E-2</v>
      </c>
      <c r="E30" s="26">
        <v>1.6E-2</v>
      </c>
      <c r="G30" s="21" t="s">
        <v>79</v>
      </c>
    </row>
    <row r="32" spans="1:7" ht="25.5" customHeight="1" x14ac:dyDescent="0.2">
      <c r="A32" s="6" t="s">
        <v>80</v>
      </c>
      <c r="B32" s="6"/>
      <c r="C32" s="6"/>
      <c r="D32" s="6"/>
      <c r="E32" s="6"/>
      <c r="F32" s="6"/>
      <c r="G32" s="6"/>
    </row>
    <row r="33" spans="1:7" x14ac:dyDescent="0.2">
      <c r="A33" s="14" t="s">
        <v>33</v>
      </c>
    </row>
    <row r="34" spans="1:7" x14ac:dyDescent="0.2">
      <c r="B34" s="5" t="s">
        <v>34</v>
      </c>
      <c r="C34" s="5"/>
      <c r="D34" s="4" t="s">
        <v>35</v>
      </c>
      <c r="E34" s="4"/>
      <c r="F34" s="4"/>
      <c r="G34" s="4"/>
    </row>
    <row r="35" spans="1:7" x14ac:dyDescent="0.2">
      <c r="B35" s="3" t="s">
        <v>36</v>
      </c>
      <c r="C35" s="3"/>
      <c r="D35" s="4" t="s">
        <v>37</v>
      </c>
      <c r="E35" s="4"/>
      <c r="F35" s="4"/>
      <c r="G35" s="4"/>
    </row>
    <row r="36" spans="1:7" x14ac:dyDescent="0.2">
      <c r="B36" s="2" t="s">
        <v>38</v>
      </c>
      <c r="C36" s="2"/>
      <c r="D36" s="4" t="s">
        <v>39</v>
      </c>
      <c r="E36" s="4"/>
      <c r="F36" s="4"/>
      <c r="G36" s="4"/>
    </row>
  </sheetData>
  <mergeCells count="16">
    <mergeCell ref="B34:C34"/>
    <mergeCell ref="D34:G34"/>
    <mergeCell ref="B35:C35"/>
    <mergeCell ref="D35:G35"/>
    <mergeCell ref="B36:C36"/>
    <mergeCell ref="D36:G36"/>
    <mergeCell ref="A8:G8"/>
    <mergeCell ref="A14:G14"/>
    <mergeCell ref="A21:G21"/>
    <mergeCell ref="A27:G27"/>
    <mergeCell ref="A32:G32"/>
    <mergeCell ref="A1:G1"/>
    <mergeCell ref="A2:G2"/>
    <mergeCell ref="A4:G4"/>
    <mergeCell ref="C5:E5"/>
    <mergeCell ref="C6:E6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1"/>
  <sheetViews>
    <sheetView showGridLines="0" topLeftCell="A6" zoomScaleNormal="100" workbookViewId="0">
      <selection sqref="A1:F1"/>
    </sheetView>
  </sheetViews>
  <sheetFormatPr baseColWidth="10" defaultColWidth="8.6640625" defaultRowHeight="15" x14ac:dyDescent="0.2"/>
  <cols>
    <col min="1" max="1" width="12" customWidth="1"/>
    <col min="2" max="2" width="20" customWidth="1"/>
    <col min="3" max="3" width="22" customWidth="1"/>
    <col min="4" max="4" width="14" customWidth="1"/>
    <col min="5" max="5" width="18" customWidth="1"/>
    <col min="6" max="6" width="46" customWidth="1"/>
  </cols>
  <sheetData>
    <row r="1" spans="1:6" ht="25.5" customHeight="1" x14ac:dyDescent="0.2">
      <c r="A1" s="13" t="s">
        <v>81</v>
      </c>
      <c r="B1" s="13"/>
      <c r="C1" s="13"/>
      <c r="D1" s="13"/>
      <c r="E1" s="13"/>
      <c r="F1" s="13"/>
    </row>
    <row r="2" spans="1:6" ht="15.75" customHeight="1" x14ac:dyDescent="0.2">
      <c r="A2" s="12" t="s">
        <v>82</v>
      </c>
      <c r="B2" s="12"/>
      <c r="C2" s="12"/>
      <c r="D2" s="12"/>
      <c r="E2" s="12"/>
      <c r="F2" s="12"/>
    </row>
    <row r="4" spans="1:6" ht="21.75" customHeight="1" x14ac:dyDescent="0.2">
      <c r="A4" s="11" t="s">
        <v>83</v>
      </c>
      <c r="B4" s="11"/>
      <c r="C4" s="11"/>
      <c r="D4" s="11"/>
      <c r="E4" s="11"/>
      <c r="F4" s="11"/>
    </row>
    <row r="5" spans="1:6" ht="39.75" customHeight="1" x14ac:dyDescent="0.2">
      <c r="A5" s="6" t="s">
        <v>84</v>
      </c>
      <c r="B5" s="6"/>
      <c r="C5" s="6"/>
      <c r="D5" s="6"/>
      <c r="E5" s="6"/>
      <c r="F5" s="6"/>
    </row>
    <row r="7" spans="1:6" ht="27.75" customHeight="1" x14ac:dyDescent="0.2">
      <c r="A7" s="27" t="s">
        <v>85</v>
      </c>
      <c r="B7" s="27" t="s">
        <v>86</v>
      </c>
      <c r="C7" s="27" t="s">
        <v>87</v>
      </c>
      <c r="D7" s="27" t="s">
        <v>88</v>
      </c>
      <c r="E7" s="27" t="s">
        <v>89</v>
      </c>
    </row>
    <row r="8" spans="1:6" x14ac:dyDescent="0.2">
      <c r="A8" s="28">
        <v>1</v>
      </c>
      <c r="B8" s="29" t="s">
        <v>90</v>
      </c>
      <c r="C8" s="30" t="s">
        <v>91</v>
      </c>
      <c r="D8" s="31">
        <v>0.9</v>
      </c>
      <c r="E8" s="32">
        <f t="shared" ref="E8:E19" si="0">D8/AVERAGE($D$8:$D$19)</f>
        <v>0.8571428571428571</v>
      </c>
    </row>
    <row r="9" spans="1:6" x14ac:dyDescent="0.2">
      <c r="A9" s="28">
        <v>2</v>
      </c>
      <c r="B9" s="29" t="s">
        <v>92</v>
      </c>
      <c r="C9" s="30" t="s">
        <v>93</v>
      </c>
      <c r="D9" s="31">
        <v>1.1000000000000001</v>
      </c>
      <c r="E9" s="32">
        <f t="shared" si="0"/>
        <v>1.0476190476190477</v>
      </c>
    </row>
    <row r="10" spans="1:6" x14ac:dyDescent="0.2">
      <c r="A10" s="28">
        <v>3</v>
      </c>
      <c r="B10" s="29" t="s">
        <v>94</v>
      </c>
      <c r="C10" s="30" t="s">
        <v>95</v>
      </c>
      <c r="D10" s="31">
        <v>1.2</v>
      </c>
      <c r="E10" s="32">
        <f t="shared" si="0"/>
        <v>1.1428571428571428</v>
      </c>
    </row>
    <row r="11" spans="1:6" x14ac:dyDescent="0.2">
      <c r="A11" s="28">
        <v>4</v>
      </c>
      <c r="B11" s="29" t="s">
        <v>96</v>
      </c>
      <c r="C11" s="30" t="s">
        <v>93</v>
      </c>
      <c r="D11" s="31">
        <v>0.8</v>
      </c>
      <c r="E11" s="32">
        <f t="shared" si="0"/>
        <v>0.76190476190476186</v>
      </c>
    </row>
    <row r="12" spans="1:6" x14ac:dyDescent="0.2">
      <c r="A12" s="28">
        <v>5</v>
      </c>
      <c r="B12" s="29" t="s">
        <v>97</v>
      </c>
      <c r="C12" s="30" t="s">
        <v>98</v>
      </c>
      <c r="D12" s="31">
        <v>0.5</v>
      </c>
      <c r="E12" s="32">
        <f t="shared" si="0"/>
        <v>0.47619047619047616</v>
      </c>
    </row>
    <row r="13" spans="1:6" x14ac:dyDescent="0.2">
      <c r="A13" s="28">
        <v>6</v>
      </c>
      <c r="B13" s="29" t="s">
        <v>99</v>
      </c>
      <c r="C13" s="30" t="s">
        <v>100</v>
      </c>
      <c r="D13" s="31">
        <v>0.7</v>
      </c>
      <c r="E13" s="32">
        <f t="shared" si="0"/>
        <v>0.66666666666666663</v>
      </c>
    </row>
    <row r="14" spans="1:6" x14ac:dyDescent="0.2">
      <c r="A14" s="28">
        <v>7</v>
      </c>
      <c r="B14" s="29" t="s">
        <v>101</v>
      </c>
      <c r="C14" s="30" t="s">
        <v>102</v>
      </c>
      <c r="D14" s="31">
        <v>1</v>
      </c>
      <c r="E14" s="32">
        <f t="shared" si="0"/>
        <v>0.95238095238095233</v>
      </c>
    </row>
    <row r="15" spans="1:6" x14ac:dyDescent="0.2">
      <c r="A15" s="28">
        <v>8</v>
      </c>
      <c r="B15" s="29" t="s">
        <v>103</v>
      </c>
      <c r="C15" s="30" t="s">
        <v>104</v>
      </c>
      <c r="D15" s="31">
        <v>1.4</v>
      </c>
      <c r="E15" s="32">
        <f t="shared" si="0"/>
        <v>1.3333333333333333</v>
      </c>
    </row>
    <row r="16" spans="1:6" x14ac:dyDescent="0.2">
      <c r="A16" s="28">
        <v>9</v>
      </c>
      <c r="B16" s="29" t="s">
        <v>105</v>
      </c>
      <c r="C16" s="30" t="s">
        <v>106</v>
      </c>
      <c r="D16" s="31">
        <v>1.8</v>
      </c>
      <c r="E16" s="32">
        <f t="shared" si="0"/>
        <v>1.7142857142857142</v>
      </c>
    </row>
    <row r="17" spans="1:6" x14ac:dyDescent="0.2">
      <c r="A17" s="28">
        <v>10</v>
      </c>
      <c r="B17" s="29" t="s">
        <v>107</v>
      </c>
      <c r="C17" s="30" t="s">
        <v>108</v>
      </c>
      <c r="D17" s="31">
        <v>1.6</v>
      </c>
      <c r="E17" s="32">
        <f t="shared" si="0"/>
        <v>1.5238095238095237</v>
      </c>
    </row>
    <row r="18" spans="1:6" x14ac:dyDescent="0.2">
      <c r="A18" s="28">
        <v>11</v>
      </c>
      <c r="B18" s="29" t="s">
        <v>109</v>
      </c>
      <c r="C18" s="30" t="s">
        <v>110</v>
      </c>
      <c r="D18" s="31">
        <v>1</v>
      </c>
      <c r="E18" s="32">
        <f t="shared" si="0"/>
        <v>0.95238095238095233</v>
      </c>
    </row>
    <row r="19" spans="1:6" x14ac:dyDescent="0.2">
      <c r="A19" s="28">
        <v>12</v>
      </c>
      <c r="B19" s="29" t="s">
        <v>111</v>
      </c>
      <c r="C19" s="30" t="s">
        <v>112</v>
      </c>
      <c r="D19" s="31">
        <v>0.6</v>
      </c>
      <c r="E19" s="32">
        <f t="shared" si="0"/>
        <v>0.5714285714285714</v>
      </c>
    </row>
    <row r="21" spans="1:6" ht="39.75" customHeight="1" x14ac:dyDescent="0.2">
      <c r="A21" s="6" t="s">
        <v>113</v>
      </c>
      <c r="B21" s="6"/>
      <c r="C21" s="6"/>
      <c r="D21" s="6"/>
      <c r="E21" s="6"/>
      <c r="F21" s="6"/>
    </row>
  </sheetData>
  <mergeCells count="5">
    <mergeCell ref="A1:F1"/>
    <mergeCell ref="A2:F2"/>
    <mergeCell ref="A4:F4"/>
    <mergeCell ref="A5:F5"/>
    <mergeCell ref="A21:F21"/>
  </mergeCells>
  <pageMargins left="0.4" right="0.4" top="0.5" bottom="0.5" header="0.511811023622047" footer="0.511811023622047"/>
  <pageSetup fitToHeight="0"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58"/>
  <sheetViews>
    <sheetView showGridLines="0" zoomScaleNormal="100" workbookViewId="0">
      <selection activeCell="J7" sqref="J7"/>
    </sheetView>
  </sheetViews>
  <sheetFormatPr baseColWidth="10" defaultColWidth="8.6640625" defaultRowHeight="15" x14ac:dyDescent="0.2"/>
  <cols>
    <col min="1" max="1" width="8" customWidth="1"/>
    <col min="2" max="2" width="30" customWidth="1"/>
    <col min="3" max="3" width="47.33203125" customWidth="1"/>
    <col min="4" max="4" width="15" customWidth="1"/>
    <col min="5" max="5" width="16" customWidth="1"/>
    <col min="6" max="6" width="19.83203125" customWidth="1"/>
    <col min="7" max="7" width="13" customWidth="1"/>
    <col min="8" max="8" width="18.33203125" customWidth="1"/>
    <col min="9" max="9" width="55.5" customWidth="1"/>
  </cols>
  <sheetData>
    <row r="1" spans="1:9" ht="25.5" customHeight="1" x14ac:dyDescent="0.2">
      <c r="A1" s="13" t="s">
        <v>114</v>
      </c>
      <c r="B1" s="13"/>
      <c r="C1" s="13"/>
      <c r="D1" s="13"/>
      <c r="E1" s="13"/>
      <c r="F1" s="13"/>
      <c r="G1" s="13"/>
      <c r="H1" s="13"/>
      <c r="I1" s="13"/>
    </row>
    <row r="2" spans="1:9" ht="15.75" customHeight="1" x14ac:dyDescent="0.2">
      <c r="A2" s="12" t="s">
        <v>115</v>
      </c>
      <c r="B2" s="12"/>
      <c r="C2" s="12"/>
      <c r="D2" s="12"/>
      <c r="E2" s="12"/>
      <c r="F2" s="12"/>
      <c r="G2" s="12"/>
      <c r="H2" s="12"/>
      <c r="I2" s="12"/>
    </row>
    <row r="4" spans="1:9" ht="21.75" customHeight="1" x14ac:dyDescent="0.2">
      <c r="A4" s="11" t="s">
        <v>116</v>
      </c>
      <c r="B4" s="11"/>
      <c r="C4" s="11"/>
      <c r="D4" s="11"/>
      <c r="E4" s="11"/>
      <c r="F4" s="11"/>
      <c r="G4" s="11"/>
      <c r="H4" s="11"/>
      <c r="I4" s="11"/>
    </row>
    <row r="5" spans="1:9" ht="27.75" customHeight="1" x14ac:dyDescent="0.2">
      <c r="A5" s="27" t="s">
        <v>117</v>
      </c>
      <c r="B5" s="27" t="s">
        <v>118</v>
      </c>
      <c r="C5" s="27" t="s">
        <v>119</v>
      </c>
      <c r="D5" s="27" t="s">
        <v>120</v>
      </c>
      <c r="E5" s="27" t="s">
        <v>121</v>
      </c>
      <c r="F5" s="27" t="s">
        <v>122</v>
      </c>
      <c r="G5" s="27" t="s">
        <v>123</v>
      </c>
      <c r="H5" s="27" t="s">
        <v>124</v>
      </c>
      <c r="I5" s="27" t="s">
        <v>52</v>
      </c>
    </row>
    <row r="6" spans="1:9" ht="31.5" customHeight="1" x14ac:dyDescent="0.2">
      <c r="A6" s="33" t="s">
        <v>125</v>
      </c>
      <c r="B6" s="29" t="s">
        <v>126</v>
      </c>
      <c r="C6" s="30" t="s">
        <v>127</v>
      </c>
      <c r="D6" s="34">
        <v>200</v>
      </c>
      <c r="E6" s="35">
        <f>SUM($D$6:D6)</f>
        <v>200</v>
      </c>
      <c r="F6" s="36">
        <v>1</v>
      </c>
      <c r="G6" s="36">
        <v>1</v>
      </c>
      <c r="H6" s="36">
        <v>1</v>
      </c>
      <c r="I6" s="37" t="s">
        <v>128</v>
      </c>
    </row>
    <row r="7" spans="1:9" ht="31.5" customHeight="1" x14ac:dyDescent="0.2">
      <c r="A7" s="33" t="s">
        <v>129</v>
      </c>
      <c r="B7" s="29" t="s">
        <v>130</v>
      </c>
      <c r="C7" s="30" t="s">
        <v>131</v>
      </c>
      <c r="D7" s="34">
        <v>4800</v>
      </c>
      <c r="E7" s="35">
        <f>SUM($D$6:D7)</f>
        <v>5000</v>
      </c>
      <c r="F7" s="36">
        <v>13</v>
      </c>
      <c r="G7" s="36">
        <v>7</v>
      </c>
      <c r="H7" s="36">
        <v>4</v>
      </c>
      <c r="I7" s="37" t="s">
        <v>132</v>
      </c>
    </row>
    <row r="8" spans="1:9" ht="31.5" customHeight="1" x14ac:dyDescent="0.2">
      <c r="A8" s="33" t="s">
        <v>133</v>
      </c>
      <c r="B8" s="29" t="s">
        <v>134</v>
      </c>
      <c r="C8" s="30" t="s">
        <v>135</v>
      </c>
      <c r="D8" s="34">
        <v>20000</v>
      </c>
      <c r="E8" s="35">
        <f>SUM($D$6:D8)</f>
        <v>25000</v>
      </c>
      <c r="F8" s="36">
        <v>31</v>
      </c>
      <c r="G8" s="36">
        <v>16</v>
      </c>
      <c r="H8" s="36">
        <v>10</v>
      </c>
      <c r="I8" s="37" t="s">
        <v>136</v>
      </c>
    </row>
    <row r="9" spans="1:9" ht="31.5" customHeight="1" x14ac:dyDescent="0.2">
      <c r="A9" s="33" t="s">
        <v>137</v>
      </c>
      <c r="B9" s="29" t="s">
        <v>138</v>
      </c>
      <c r="C9" s="30" t="s">
        <v>139</v>
      </c>
      <c r="D9" s="34">
        <v>25000</v>
      </c>
      <c r="E9" s="35">
        <f>SUM($D$6:D9)</f>
        <v>50000</v>
      </c>
      <c r="F9" s="36">
        <v>99</v>
      </c>
      <c r="G9" s="36">
        <v>28</v>
      </c>
      <c r="H9" s="36">
        <v>16</v>
      </c>
      <c r="I9" s="37" t="s">
        <v>140</v>
      </c>
    </row>
    <row r="11" spans="1:9" ht="25.5" customHeight="1" x14ac:dyDescent="0.2">
      <c r="A11" s="6" t="s">
        <v>141</v>
      </c>
      <c r="B11" s="6"/>
      <c r="C11" s="6"/>
      <c r="D11" s="6"/>
      <c r="E11" s="6"/>
      <c r="F11" s="6"/>
      <c r="G11" s="6"/>
      <c r="H11" s="6"/>
      <c r="I11" s="6"/>
    </row>
    <row r="13" spans="1:9" ht="21.75" customHeight="1" x14ac:dyDescent="0.2">
      <c r="A13" s="11" t="s">
        <v>142</v>
      </c>
      <c r="B13" s="11"/>
      <c r="C13" s="11"/>
      <c r="D13" s="11"/>
      <c r="E13" s="11"/>
      <c r="F13" s="11"/>
      <c r="G13" s="11"/>
      <c r="H13" s="11"/>
      <c r="I13" s="11"/>
    </row>
    <row r="14" spans="1:9" ht="39.75" customHeight="1" x14ac:dyDescent="0.2">
      <c r="A14" s="6" t="s">
        <v>143</v>
      </c>
      <c r="B14" s="6"/>
      <c r="C14" s="6"/>
      <c r="D14" s="6"/>
      <c r="E14" s="6"/>
      <c r="F14" s="6"/>
      <c r="G14" s="6"/>
      <c r="H14" s="6"/>
      <c r="I14" s="6"/>
    </row>
    <row r="15" spans="1:9" ht="27.75" customHeight="1" x14ac:dyDescent="0.2">
      <c r="A15" s="27" t="s">
        <v>117</v>
      </c>
      <c r="B15" s="27" t="s">
        <v>118</v>
      </c>
      <c r="C15" s="27" t="s">
        <v>119</v>
      </c>
      <c r="D15" s="27" t="s">
        <v>120</v>
      </c>
      <c r="E15" s="27" t="s">
        <v>121</v>
      </c>
      <c r="F15" s="27" t="s">
        <v>122</v>
      </c>
      <c r="G15" s="27" t="s">
        <v>123</v>
      </c>
      <c r="H15" s="27" t="s">
        <v>124</v>
      </c>
      <c r="I15" s="27" t="s">
        <v>52</v>
      </c>
    </row>
    <row r="16" spans="1:9" ht="33.75" customHeight="1" x14ac:dyDescent="0.2">
      <c r="A16" s="33" t="s">
        <v>144</v>
      </c>
      <c r="B16" s="29" t="s">
        <v>145</v>
      </c>
      <c r="C16" s="30" t="s">
        <v>146</v>
      </c>
      <c r="D16" s="34">
        <v>100000</v>
      </c>
      <c r="E16" s="38" t="s">
        <v>147</v>
      </c>
      <c r="F16" s="36">
        <v>99</v>
      </c>
      <c r="G16" s="36">
        <v>99</v>
      </c>
      <c r="H16" s="36">
        <v>24</v>
      </c>
      <c r="I16" s="37" t="s">
        <v>148</v>
      </c>
    </row>
    <row r="19" spans="1:9" ht="21.75" customHeight="1" x14ac:dyDescent="0.2">
      <c r="A19" s="11" t="s">
        <v>149</v>
      </c>
      <c r="B19" s="11"/>
      <c r="C19" s="11"/>
      <c r="D19" s="11"/>
      <c r="E19" s="11"/>
      <c r="F19" s="11"/>
      <c r="G19" s="11"/>
      <c r="H19" s="11"/>
      <c r="I19" s="11"/>
    </row>
    <row r="20" spans="1:9" ht="27.75" customHeight="1" x14ac:dyDescent="0.2">
      <c r="A20" s="27" t="s">
        <v>85</v>
      </c>
      <c r="B20" s="27" t="s">
        <v>49</v>
      </c>
      <c r="C20" s="27" t="s">
        <v>50</v>
      </c>
      <c r="D20" s="27" t="s">
        <v>51</v>
      </c>
    </row>
    <row r="21" spans="1:9" x14ac:dyDescent="0.2">
      <c r="A21" s="39">
        <v>1</v>
      </c>
      <c r="B21" s="40">
        <f t="shared" ref="B21:B56" si="0">$D$6+IF($A21&gt;=$F$7,$D$7,0)+IF($A21&gt;=$F$8,$D$8,0)+IF($A21&gt;=$F$9,$D$9,0)+IF($A21&gt;=$F$16,$D$16,0)</f>
        <v>200</v>
      </c>
      <c r="C21" s="40">
        <f t="shared" ref="C21:C56" si="1">$D$6+IF($A21&gt;=$G$7,$D$7,0)+IF($A21&gt;=$G$8,$D$8,0)+IF($A21&gt;=$G$9,$D$9,0)+IF($A21&gt;=$G$16,$D$16,0)</f>
        <v>200</v>
      </c>
      <c r="D21" s="40">
        <f t="shared" ref="D21:D56" si="2">$D$6+IF($A21&gt;=$H$7,$D$7,0)+IF($A21&gt;=$H$8,$D$8,0)+IF($A21&gt;=$H$9,$D$9,0)+IF($A21&gt;=$H$16,$D$16,0)</f>
        <v>200</v>
      </c>
    </row>
    <row r="22" spans="1:9" x14ac:dyDescent="0.2">
      <c r="A22" s="39">
        <v>2</v>
      </c>
      <c r="B22" s="40">
        <f t="shared" si="0"/>
        <v>200</v>
      </c>
      <c r="C22" s="40">
        <f t="shared" si="1"/>
        <v>200</v>
      </c>
      <c r="D22" s="40">
        <f t="shared" si="2"/>
        <v>200</v>
      </c>
    </row>
    <row r="23" spans="1:9" x14ac:dyDescent="0.2">
      <c r="A23" s="39">
        <v>3</v>
      </c>
      <c r="B23" s="40">
        <f t="shared" si="0"/>
        <v>200</v>
      </c>
      <c r="C23" s="40">
        <f t="shared" si="1"/>
        <v>200</v>
      </c>
      <c r="D23" s="40">
        <f t="shared" si="2"/>
        <v>200</v>
      </c>
    </row>
    <row r="24" spans="1:9" x14ac:dyDescent="0.2">
      <c r="A24" s="39">
        <v>4</v>
      </c>
      <c r="B24" s="40">
        <f t="shared" si="0"/>
        <v>200</v>
      </c>
      <c r="C24" s="40">
        <f t="shared" si="1"/>
        <v>200</v>
      </c>
      <c r="D24" s="40">
        <f t="shared" si="2"/>
        <v>5000</v>
      </c>
    </row>
    <row r="25" spans="1:9" x14ac:dyDescent="0.2">
      <c r="A25" s="39">
        <v>5</v>
      </c>
      <c r="B25" s="40">
        <f t="shared" si="0"/>
        <v>200</v>
      </c>
      <c r="C25" s="40">
        <f t="shared" si="1"/>
        <v>200</v>
      </c>
      <c r="D25" s="40">
        <f t="shared" si="2"/>
        <v>5000</v>
      </c>
    </row>
    <row r="26" spans="1:9" x14ac:dyDescent="0.2">
      <c r="A26" s="39">
        <v>6</v>
      </c>
      <c r="B26" s="40">
        <f t="shared" si="0"/>
        <v>200</v>
      </c>
      <c r="C26" s="40">
        <f t="shared" si="1"/>
        <v>200</v>
      </c>
      <c r="D26" s="40">
        <f t="shared" si="2"/>
        <v>5000</v>
      </c>
    </row>
    <row r="27" spans="1:9" x14ac:dyDescent="0.2">
      <c r="A27" s="39">
        <v>7</v>
      </c>
      <c r="B27" s="40">
        <f t="shared" si="0"/>
        <v>200</v>
      </c>
      <c r="C27" s="40">
        <f t="shared" si="1"/>
        <v>5000</v>
      </c>
      <c r="D27" s="40">
        <f t="shared" si="2"/>
        <v>5000</v>
      </c>
    </row>
    <row r="28" spans="1:9" x14ac:dyDescent="0.2">
      <c r="A28" s="39">
        <v>8</v>
      </c>
      <c r="B28" s="40">
        <f t="shared" si="0"/>
        <v>200</v>
      </c>
      <c r="C28" s="40">
        <f t="shared" si="1"/>
        <v>5000</v>
      </c>
      <c r="D28" s="40">
        <f t="shared" si="2"/>
        <v>5000</v>
      </c>
    </row>
    <row r="29" spans="1:9" x14ac:dyDescent="0.2">
      <c r="A29" s="39">
        <v>9</v>
      </c>
      <c r="B29" s="40">
        <f t="shared" si="0"/>
        <v>200</v>
      </c>
      <c r="C29" s="40">
        <f t="shared" si="1"/>
        <v>5000</v>
      </c>
      <c r="D29" s="40">
        <f t="shared" si="2"/>
        <v>5000</v>
      </c>
    </row>
    <row r="30" spans="1:9" x14ac:dyDescent="0.2">
      <c r="A30" s="39">
        <v>10</v>
      </c>
      <c r="B30" s="40">
        <f t="shared" si="0"/>
        <v>200</v>
      </c>
      <c r="C30" s="40">
        <f t="shared" si="1"/>
        <v>5000</v>
      </c>
      <c r="D30" s="40">
        <f t="shared" si="2"/>
        <v>25000</v>
      </c>
    </row>
    <row r="31" spans="1:9" x14ac:dyDescent="0.2">
      <c r="A31" s="39">
        <v>11</v>
      </c>
      <c r="B31" s="40">
        <f t="shared" si="0"/>
        <v>200</v>
      </c>
      <c r="C31" s="40">
        <f t="shared" si="1"/>
        <v>5000</v>
      </c>
      <c r="D31" s="40">
        <f t="shared" si="2"/>
        <v>25000</v>
      </c>
    </row>
    <row r="32" spans="1:9" x14ac:dyDescent="0.2">
      <c r="A32" s="39">
        <v>12</v>
      </c>
      <c r="B32" s="40">
        <f t="shared" si="0"/>
        <v>200</v>
      </c>
      <c r="C32" s="40">
        <f t="shared" si="1"/>
        <v>5000</v>
      </c>
      <c r="D32" s="40">
        <f t="shared" si="2"/>
        <v>25000</v>
      </c>
    </row>
    <row r="33" spans="1:4" x14ac:dyDescent="0.2">
      <c r="A33" s="39">
        <v>13</v>
      </c>
      <c r="B33" s="40">
        <f t="shared" si="0"/>
        <v>5000</v>
      </c>
      <c r="C33" s="40">
        <f t="shared" si="1"/>
        <v>5000</v>
      </c>
      <c r="D33" s="40">
        <f t="shared" si="2"/>
        <v>25000</v>
      </c>
    </row>
    <row r="34" spans="1:4" x14ac:dyDescent="0.2">
      <c r="A34" s="39">
        <v>14</v>
      </c>
      <c r="B34" s="40">
        <f t="shared" si="0"/>
        <v>5000</v>
      </c>
      <c r="C34" s="40">
        <f t="shared" si="1"/>
        <v>5000</v>
      </c>
      <c r="D34" s="40">
        <f t="shared" si="2"/>
        <v>25000</v>
      </c>
    </row>
    <row r="35" spans="1:4" x14ac:dyDescent="0.2">
      <c r="A35" s="39">
        <v>15</v>
      </c>
      <c r="B35" s="40">
        <f t="shared" si="0"/>
        <v>5000</v>
      </c>
      <c r="C35" s="40">
        <f t="shared" si="1"/>
        <v>5000</v>
      </c>
      <c r="D35" s="40">
        <f t="shared" si="2"/>
        <v>25000</v>
      </c>
    </row>
    <row r="36" spans="1:4" x14ac:dyDescent="0.2">
      <c r="A36" s="39">
        <v>16</v>
      </c>
      <c r="B36" s="40">
        <f t="shared" si="0"/>
        <v>5000</v>
      </c>
      <c r="C36" s="40">
        <f t="shared" si="1"/>
        <v>25000</v>
      </c>
      <c r="D36" s="40">
        <f t="shared" si="2"/>
        <v>50000</v>
      </c>
    </row>
    <row r="37" spans="1:4" x14ac:dyDescent="0.2">
      <c r="A37" s="39">
        <v>17</v>
      </c>
      <c r="B37" s="40">
        <f t="shared" si="0"/>
        <v>5000</v>
      </c>
      <c r="C37" s="40">
        <f t="shared" si="1"/>
        <v>25000</v>
      </c>
      <c r="D37" s="40">
        <f t="shared" si="2"/>
        <v>50000</v>
      </c>
    </row>
    <row r="38" spans="1:4" x14ac:dyDescent="0.2">
      <c r="A38" s="39">
        <v>18</v>
      </c>
      <c r="B38" s="40">
        <f t="shared" si="0"/>
        <v>5000</v>
      </c>
      <c r="C38" s="40">
        <f t="shared" si="1"/>
        <v>25000</v>
      </c>
      <c r="D38" s="40">
        <f t="shared" si="2"/>
        <v>50000</v>
      </c>
    </row>
    <row r="39" spans="1:4" x14ac:dyDescent="0.2">
      <c r="A39" s="39">
        <v>19</v>
      </c>
      <c r="B39" s="40">
        <f t="shared" si="0"/>
        <v>5000</v>
      </c>
      <c r="C39" s="40">
        <f t="shared" si="1"/>
        <v>25000</v>
      </c>
      <c r="D39" s="40">
        <f t="shared" si="2"/>
        <v>50000</v>
      </c>
    </row>
    <row r="40" spans="1:4" x14ac:dyDescent="0.2">
      <c r="A40" s="39">
        <v>20</v>
      </c>
      <c r="B40" s="40">
        <f t="shared" si="0"/>
        <v>5000</v>
      </c>
      <c r="C40" s="40">
        <f t="shared" si="1"/>
        <v>25000</v>
      </c>
      <c r="D40" s="40">
        <f t="shared" si="2"/>
        <v>50000</v>
      </c>
    </row>
    <row r="41" spans="1:4" x14ac:dyDescent="0.2">
      <c r="A41" s="39">
        <v>21</v>
      </c>
      <c r="B41" s="40">
        <f t="shared" si="0"/>
        <v>5000</v>
      </c>
      <c r="C41" s="40">
        <f t="shared" si="1"/>
        <v>25000</v>
      </c>
      <c r="D41" s="40">
        <f t="shared" si="2"/>
        <v>50000</v>
      </c>
    </row>
    <row r="42" spans="1:4" x14ac:dyDescent="0.2">
      <c r="A42" s="39">
        <v>22</v>
      </c>
      <c r="B42" s="40">
        <f t="shared" si="0"/>
        <v>5000</v>
      </c>
      <c r="C42" s="40">
        <f t="shared" si="1"/>
        <v>25000</v>
      </c>
      <c r="D42" s="40">
        <f t="shared" si="2"/>
        <v>50000</v>
      </c>
    </row>
    <row r="43" spans="1:4" x14ac:dyDescent="0.2">
      <c r="A43" s="39">
        <v>23</v>
      </c>
      <c r="B43" s="40">
        <f t="shared" si="0"/>
        <v>5000</v>
      </c>
      <c r="C43" s="40">
        <f t="shared" si="1"/>
        <v>25000</v>
      </c>
      <c r="D43" s="40">
        <f t="shared" si="2"/>
        <v>50000</v>
      </c>
    </row>
    <row r="44" spans="1:4" x14ac:dyDescent="0.2">
      <c r="A44" s="39">
        <v>24</v>
      </c>
      <c r="B44" s="40">
        <f t="shared" si="0"/>
        <v>5000</v>
      </c>
      <c r="C44" s="40">
        <f t="shared" si="1"/>
        <v>25000</v>
      </c>
      <c r="D44" s="40">
        <f t="shared" si="2"/>
        <v>150000</v>
      </c>
    </row>
    <row r="45" spans="1:4" x14ac:dyDescent="0.2">
      <c r="A45" s="39">
        <v>25</v>
      </c>
      <c r="B45" s="40">
        <f t="shared" si="0"/>
        <v>5000</v>
      </c>
      <c r="C45" s="40">
        <f t="shared" si="1"/>
        <v>25000</v>
      </c>
      <c r="D45" s="40">
        <f t="shared" si="2"/>
        <v>150000</v>
      </c>
    </row>
    <row r="46" spans="1:4" x14ac:dyDescent="0.2">
      <c r="A46" s="39">
        <v>26</v>
      </c>
      <c r="B46" s="40">
        <f t="shared" si="0"/>
        <v>5000</v>
      </c>
      <c r="C46" s="40">
        <f t="shared" si="1"/>
        <v>25000</v>
      </c>
      <c r="D46" s="40">
        <f t="shared" si="2"/>
        <v>150000</v>
      </c>
    </row>
    <row r="47" spans="1:4" x14ac:dyDescent="0.2">
      <c r="A47" s="39">
        <v>27</v>
      </c>
      <c r="B47" s="40">
        <f t="shared" si="0"/>
        <v>5000</v>
      </c>
      <c r="C47" s="40">
        <f t="shared" si="1"/>
        <v>25000</v>
      </c>
      <c r="D47" s="40">
        <f t="shared" si="2"/>
        <v>150000</v>
      </c>
    </row>
    <row r="48" spans="1:4" x14ac:dyDescent="0.2">
      <c r="A48" s="39">
        <v>28</v>
      </c>
      <c r="B48" s="40">
        <f t="shared" si="0"/>
        <v>5000</v>
      </c>
      <c r="C48" s="40">
        <f t="shared" si="1"/>
        <v>50000</v>
      </c>
      <c r="D48" s="40">
        <f t="shared" si="2"/>
        <v>150000</v>
      </c>
    </row>
    <row r="49" spans="1:9" x14ac:dyDescent="0.2">
      <c r="A49" s="39">
        <v>29</v>
      </c>
      <c r="B49" s="40">
        <f t="shared" si="0"/>
        <v>5000</v>
      </c>
      <c r="C49" s="40">
        <f t="shared" si="1"/>
        <v>50000</v>
      </c>
      <c r="D49" s="40">
        <f t="shared" si="2"/>
        <v>150000</v>
      </c>
    </row>
    <row r="50" spans="1:9" x14ac:dyDescent="0.2">
      <c r="A50" s="39">
        <v>30</v>
      </c>
      <c r="B50" s="40">
        <f t="shared" si="0"/>
        <v>5000</v>
      </c>
      <c r="C50" s="40">
        <f t="shared" si="1"/>
        <v>50000</v>
      </c>
      <c r="D50" s="40">
        <f t="shared" si="2"/>
        <v>150000</v>
      </c>
    </row>
    <row r="51" spans="1:9" x14ac:dyDescent="0.2">
      <c r="A51" s="39">
        <v>31</v>
      </c>
      <c r="B51" s="40">
        <f t="shared" si="0"/>
        <v>25000</v>
      </c>
      <c r="C51" s="40">
        <f t="shared" si="1"/>
        <v>50000</v>
      </c>
      <c r="D51" s="40">
        <f t="shared" si="2"/>
        <v>150000</v>
      </c>
    </row>
    <row r="52" spans="1:9" x14ac:dyDescent="0.2">
      <c r="A52" s="39">
        <v>32</v>
      </c>
      <c r="B52" s="40">
        <f t="shared" si="0"/>
        <v>25000</v>
      </c>
      <c r="C52" s="40">
        <f t="shared" si="1"/>
        <v>50000</v>
      </c>
      <c r="D52" s="40">
        <f t="shared" si="2"/>
        <v>150000</v>
      </c>
    </row>
    <row r="53" spans="1:9" x14ac:dyDescent="0.2">
      <c r="A53" s="39">
        <v>33</v>
      </c>
      <c r="B53" s="40">
        <f t="shared" si="0"/>
        <v>25000</v>
      </c>
      <c r="C53" s="40">
        <f t="shared" si="1"/>
        <v>50000</v>
      </c>
      <c r="D53" s="40">
        <f t="shared" si="2"/>
        <v>150000</v>
      </c>
    </row>
    <row r="54" spans="1:9" x14ac:dyDescent="0.2">
      <c r="A54" s="39">
        <v>34</v>
      </c>
      <c r="B54" s="40">
        <f t="shared" si="0"/>
        <v>25000</v>
      </c>
      <c r="C54" s="40">
        <f t="shared" si="1"/>
        <v>50000</v>
      </c>
      <c r="D54" s="40">
        <f t="shared" si="2"/>
        <v>150000</v>
      </c>
    </row>
    <row r="55" spans="1:9" x14ac:dyDescent="0.2">
      <c r="A55" s="39">
        <v>35</v>
      </c>
      <c r="B55" s="40">
        <f t="shared" si="0"/>
        <v>25000</v>
      </c>
      <c r="C55" s="40">
        <f t="shared" si="1"/>
        <v>50000</v>
      </c>
      <c r="D55" s="40">
        <f t="shared" si="2"/>
        <v>150000</v>
      </c>
    </row>
    <row r="56" spans="1:9" x14ac:dyDescent="0.2">
      <c r="A56" s="39">
        <v>36</v>
      </c>
      <c r="B56" s="40">
        <f t="shared" si="0"/>
        <v>25000</v>
      </c>
      <c r="C56" s="40">
        <f t="shared" si="1"/>
        <v>50000</v>
      </c>
      <c r="D56" s="40">
        <f t="shared" si="2"/>
        <v>150000</v>
      </c>
    </row>
    <row r="58" spans="1:9" ht="25.5" customHeight="1" x14ac:dyDescent="0.2">
      <c r="A58" s="6" t="s">
        <v>150</v>
      </c>
      <c r="B58" s="6"/>
      <c r="C58" s="6"/>
      <c r="D58" s="6"/>
      <c r="E58" s="6"/>
      <c r="F58" s="6"/>
      <c r="G58" s="6"/>
      <c r="H58" s="6"/>
      <c r="I58" s="6"/>
    </row>
  </sheetData>
  <mergeCells count="8">
    <mergeCell ref="A14:I14"/>
    <mergeCell ref="A19:I19"/>
    <mergeCell ref="A58:I58"/>
    <mergeCell ref="A1:I1"/>
    <mergeCell ref="A2:I2"/>
    <mergeCell ref="A4:I4"/>
    <mergeCell ref="A11:I11"/>
    <mergeCell ref="A13:I13"/>
  </mergeCells>
  <pageMargins left="0.4" right="0.4" top="0.5" bottom="0.5" header="0.511811023622047" footer="0.511811023622047"/>
  <pageSetup fitToHeight="0"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17"/>
  <sheetViews>
    <sheetView showGridLines="0" topLeftCell="A9" zoomScaleNormal="100" workbookViewId="0">
      <selection sqref="A1:E1"/>
    </sheetView>
  </sheetViews>
  <sheetFormatPr baseColWidth="10" defaultColWidth="8.6640625" defaultRowHeight="15" x14ac:dyDescent="0.2"/>
  <cols>
    <col min="1" max="1" width="30" customWidth="1"/>
    <col min="2" max="2" width="44" customWidth="1"/>
    <col min="3" max="3" width="14" customWidth="1"/>
    <col min="4" max="4" width="16" customWidth="1"/>
    <col min="5" max="5" width="46" customWidth="1"/>
  </cols>
  <sheetData>
    <row r="1" spans="1:5" ht="25.5" customHeight="1" x14ac:dyDescent="0.2">
      <c r="A1" s="13" t="s">
        <v>151</v>
      </c>
      <c r="B1" s="13"/>
      <c r="C1" s="13"/>
      <c r="D1" s="13"/>
      <c r="E1" s="13"/>
    </row>
    <row r="2" spans="1:5" ht="15.75" customHeight="1" x14ac:dyDescent="0.2">
      <c r="A2" s="12" t="s">
        <v>152</v>
      </c>
      <c r="B2" s="12"/>
      <c r="C2" s="12"/>
      <c r="D2" s="12"/>
      <c r="E2" s="12"/>
    </row>
    <row r="4" spans="1:5" ht="54" customHeight="1" x14ac:dyDescent="0.2">
      <c r="A4" s="6" t="s">
        <v>153</v>
      </c>
      <c r="B4" s="6"/>
      <c r="C4" s="6"/>
      <c r="D4" s="6"/>
      <c r="E4" s="6"/>
    </row>
    <row r="6" spans="1:5" ht="21.75" customHeight="1" x14ac:dyDescent="0.2">
      <c r="A6" s="11" t="s">
        <v>154</v>
      </c>
      <c r="B6" s="11"/>
      <c r="C6" s="11"/>
      <c r="D6" s="11"/>
      <c r="E6" s="11"/>
    </row>
    <row r="7" spans="1:5" ht="27.75" customHeight="1" x14ac:dyDescent="0.2">
      <c r="A7" s="27" t="s">
        <v>155</v>
      </c>
      <c r="B7" s="27" t="s">
        <v>119</v>
      </c>
      <c r="C7" s="27" t="s">
        <v>156</v>
      </c>
      <c r="D7" s="27" t="s">
        <v>157</v>
      </c>
      <c r="E7" s="27" t="s">
        <v>158</v>
      </c>
    </row>
    <row r="8" spans="1:5" ht="33.75" customHeight="1" x14ac:dyDescent="0.2">
      <c r="A8" s="41" t="s">
        <v>159</v>
      </c>
      <c r="B8" s="42" t="s">
        <v>160</v>
      </c>
      <c r="C8" s="43">
        <v>0.25</v>
      </c>
      <c r="D8" s="44">
        <f>C8*(Assumptions!$E$12-Assumptions!$E$10)</f>
        <v>2.5</v>
      </c>
      <c r="E8" s="37" t="s">
        <v>161</v>
      </c>
    </row>
    <row r="9" spans="1:5" ht="33.75" customHeight="1" x14ac:dyDescent="0.2">
      <c r="A9" s="41" t="s">
        <v>162</v>
      </c>
      <c r="B9" s="42" t="s">
        <v>163</v>
      </c>
      <c r="C9" s="43">
        <v>0.15</v>
      </c>
      <c r="D9" s="44">
        <f>C9*(Assumptions!$E$12-Assumptions!$E$10)</f>
        <v>1.5</v>
      </c>
      <c r="E9" s="37" t="s">
        <v>164</v>
      </c>
    </row>
    <row r="10" spans="1:5" ht="33.75" customHeight="1" x14ac:dyDescent="0.2">
      <c r="A10" s="41" t="s">
        <v>165</v>
      </c>
      <c r="B10" s="42" t="s">
        <v>166</v>
      </c>
      <c r="C10" s="43">
        <v>0.15</v>
      </c>
      <c r="D10" s="44">
        <f>C10*(Assumptions!$E$12-Assumptions!$E$10)</f>
        <v>1.5</v>
      </c>
      <c r="E10" s="37" t="s">
        <v>167</v>
      </c>
    </row>
    <row r="11" spans="1:5" ht="33.75" customHeight="1" x14ac:dyDescent="0.2">
      <c r="A11" s="41" t="s">
        <v>168</v>
      </c>
      <c r="B11" s="42" t="s">
        <v>169</v>
      </c>
      <c r="C11" s="43">
        <v>0.25</v>
      </c>
      <c r="D11" s="44">
        <f>C11*(Assumptions!$E$12-Assumptions!$E$10)</f>
        <v>2.5</v>
      </c>
      <c r="E11" s="37" t="s">
        <v>170</v>
      </c>
    </row>
    <row r="12" spans="1:5" ht="33.75" customHeight="1" x14ac:dyDescent="0.2">
      <c r="A12" s="41" t="s">
        <v>171</v>
      </c>
      <c r="B12" s="42" t="s">
        <v>172</v>
      </c>
      <c r="C12" s="43">
        <v>0.1</v>
      </c>
      <c r="D12" s="44">
        <f>C12*(Assumptions!$E$12-Assumptions!$E$10)</f>
        <v>1</v>
      </c>
      <c r="E12" s="37" t="s">
        <v>173</v>
      </c>
    </row>
    <row r="13" spans="1:5" ht="33.75" customHeight="1" x14ac:dyDescent="0.2">
      <c r="A13" s="41" t="s">
        <v>174</v>
      </c>
      <c r="B13" s="42" t="s">
        <v>175</v>
      </c>
      <c r="C13" s="43">
        <v>0.1</v>
      </c>
      <c r="D13" s="44">
        <f>C13*(Assumptions!$E$12-Assumptions!$E$10)</f>
        <v>1</v>
      </c>
      <c r="E13" s="37" t="s">
        <v>176</v>
      </c>
    </row>
    <row r="15" spans="1:5" x14ac:dyDescent="0.2">
      <c r="A15" s="45" t="s">
        <v>177</v>
      </c>
      <c r="B15" s="46"/>
      <c r="C15" s="47">
        <f>SUM(C8:C13)</f>
        <v>1</v>
      </c>
      <c r="D15" s="48">
        <f>SUM(D8:D13)</f>
        <v>10</v>
      </c>
      <c r="E15" s="46"/>
    </row>
    <row r="17" spans="1:5" ht="43.5" customHeight="1" x14ac:dyDescent="0.2">
      <c r="A17" s="6" t="s">
        <v>178</v>
      </c>
      <c r="B17" s="6"/>
      <c r="C17" s="6"/>
      <c r="D17" s="6"/>
      <c r="E17" s="6"/>
    </row>
  </sheetData>
  <mergeCells count="5">
    <mergeCell ref="A1:E1"/>
    <mergeCell ref="A2:E2"/>
    <mergeCell ref="A4:E4"/>
    <mergeCell ref="A6:E6"/>
    <mergeCell ref="A17:E17"/>
  </mergeCells>
  <pageMargins left="0.4" right="0.4" top="0.5" bottom="0.5" header="0.511811023622047" footer="0.511811023622047"/>
  <pageSetup fitToHeight="0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40"/>
  <sheetViews>
    <sheetView showGridLines="0" topLeftCell="H1" zoomScaleNormal="100" workbookViewId="0">
      <pane ySplit="5" topLeftCell="A30" activePane="bottomLeft" state="frozen"/>
      <selection pane="bottomLeft" activeCell="J9" sqref="J9"/>
    </sheetView>
  </sheetViews>
  <sheetFormatPr baseColWidth="10" defaultColWidth="8.6640625" defaultRowHeight="15" x14ac:dyDescent="0.2"/>
  <cols>
    <col min="1" max="20" width="16.33203125" customWidth="1"/>
  </cols>
  <sheetData>
    <row r="1" spans="1:20" ht="25.5" customHeight="1" x14ac:dyDescent="0.2">
      <c r="A1" s="13" t="s">
        <v>179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ht="15.75" customHeight="1" x14ac:dyDescent="0.2">
      <c r="A2" s="12" t="s">
        <v>180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4" spans="1:20" ht="33.75" customHeight="1" x14ac:dyDescent="0.2">
      <c r="A4" s="27" t="s">
        <v>85</v>
      </c>
      <c r="B4" s="27" t="s">
        <v>86</v>
      </c>
      <c r="C4" s="27" t="s">
        <v>181</v>
      </c>
      <c r="D4" s="27" t="s">
        <v>182</v>
      </c>
      <c r="E4" s="27" t="s">
        <v>183</v>
      </c>
      <c r="F4" s="27" t="s">
        <v>184</v>
      </c>
      <c r="G4" s="27" t="s">
        <v>185</v>
      </c>
      <c r="H4" s="27" t="s">
        <v>186</v>
      </c>
      <c r="I4" s="27" t="s">
        <v>187</v>
      </c>
      <c r="J4" s="27" t="s">
        <v>188</v>
      </c>
      <c r="K4" s="27" t="s">
        <v>189</v>
      </c>
      <c r="L4" s="27" t="s">
        <v>190</v>
      </c>
      <c r="M4" s="27" t="s">
        <v>191</v>
      </c>
      <c r="N4" s="27" t="s">
        <v>192</v>
      </c>
      <c r="O4" s="27" t="s">
        <v>193</v>
      </c>
      <c r="P4" s="27" t="s">
        <v>194</v>
      </c>
      <c r="Q4" s="27" t="s">
        <v>195</v>
      </c>
      <c r="R4" s="27" t="s">
        <v>196</v>
      </c>
      <c r="S4" s="27" t="s">
        <v>197</v>
      </c>
      <c r="T4" s="27" t="s">
        <v>198</v>
      </c>
    </row>
    <row r="5" spans="1:20" x14ac:dyDescent="0.2">
      <c r="A5" s="49">
        <v>1</v>
      </c>
      <c r="B5" s="50">
        <f>EDATE(Assumptions!$C$5,A5-1)</f>
        <v>46266</v>
      </c>
      <c r="C5" s="49">
        <f t="shared" ref="C5:C40" si="0">ROUNDUP(A5/12,0)</f>
        <v>1</v>
      </c>
      <c r="D5" s="51">
        <f>INDEX('Market Expansion'!$B$21:$B$56,A5)</f>
        <v>200</v>
      </c>
      <c r="E5" s="52">
        <f>INDEX(Seasonality!$E$8:$E$19,MONTH(B5))</f>
        <v>1.7142857142857142</v>
      </c>
      <c r="F5" s="53">
        <f>Assumptions!$C$16*(1+Assumptions!$C$17)^((A5-1)/12)</f>
        <v>2.5000000000000001E-2</v>
      </c>
      <c r="G5" s="35">
        <f t="shared" ref="G5:G40" si="1">D5*F5*E5</f>
        <v>8.5714285714285712</v>
      </c>
      <c r="H5" s="35">
        <f>G5*Assumptions!$C$18</f>
        <v>3.4285714285714288</v>
      </c>
      <c r="I5" s="35">
        <f>H5*Assumptions!$C$19</f>
        <v>0.61714285714285722</v>
      </c>
      <c r="J5" s="35">
        <v>0</v>
      </c>
      <c r="K5" s="35">
        <v>0</v>
      </c>
      <c r="L5" s="35">
        <f t="shared" ref="L5:L40" si="2">I5+J5+K5</f>
        <v>0.61714285714285722</v>
      </c>
      <c r="M5" s="54">
        <f>L5</f>
        <v>0.61714285714285722</v>
      </c>
      <c r="N5" s="55">
        <f>IF(A5&gt;=Assumptions!$C$11,Assumptions!$C$12,Assumptions!$C$10)</f>
        <v>29</v>
      </c>
      <c r="O5" s="56">
        <f t="shared" ref="O5:O40" si="3">M5*N5</f>
        <v>17.89714285714286</v>
      </c>
      <c r="P5" s="57">
        <f>Assumptions!$C$29</f>
        <v>10</v>
      </c>
      <c r="Q5" s="58">
        <f>Assumptions!$C$30</f>
        <v>1.6E-2</v>
      </c>
      <c r="R5" s="59">
        <f t="shared" ref="R5:R40" si="4">M5*P5*Q5</f>
        <v>9.874285714285716E-2</v>
      </c>
      <c r="S5" s="59">
        <f t="shared" ref="S5:S40" si="5">O5-R5</f>
        <v>17.798400000000004</v>
      </c>
      <c r="T5" s="60">
        <f t="shared" ref="T5:T40" si="6">IF(O5=0,0,S5/O5)</f>
        <v>0.99448275862068969</v>
      </c>
    </row>
    <row r="6" spans="1:20" x14ac:dyDescent="0.2">
      <c r="A6" s="49">
        <v>2</v>
      </c>
      <c r="B6" s="50">
        <f>EDATE(Assumptions!$C$5,A6-1)</f>
        <v>46296</v>
      </c>
      <c r="C6" s="49">
        <f t="shared" si="0"/>
        <v>1</v>
      </c>
      <c r="D6" s="51">
        <f>INDEX('Market Expansion'!$B$21:$B$56,A6)</f>
        <v>200</v>
      </c>
      <c r="E6" s="52">
        <f>INDEX(Seasonality!$E$8:$E$19,MONTH(B6))</f>
        <v>1.5238095238095237</v>
      </c>
      <c r="F6" s="53">
        <f>Assumptions!$C$16*(1+Assumptions!$C$17)^((A6-1)/12)</f>
        <v>2.5292872922996337E-2</v>
      </c>
      <c r="G6" s="35">
        <f t="shared" si="1"/>
        <v>7.7083041289131682</v>
      </c>
      <c r="H6" s="35">
        <f>G6*Assumptions!$C$18</f>
        <v>3.0833216515652673</v>
      </c>
      <c r="I6" s="35">
        <f>H6*Assumptions!$C$19</f>
        <v>0.55499789728174809</v>
      </c>
      <c r="J6" s="35">
        <f>M5*Assumptions!$C$24</f>
        <v>9.2571428571428579E-3</v>
      </c>
      <c r="K6" s="35">
        <v>0</v>
      </c>
      <c r="L6" s="35">
        <f t="shared" si="2"/>
        <v>0.56425504013889094</v>
      </c>
      <c r="M6" s="54">
        <f>L6+M5*(1-Assumptions!$C$23)</f>
        <v>0.94688361156746237</v>
      </c>
      <c r="N6" s="55">
        <f>IF(A6&gt;=Assumptions!$C$11,Assumptions!$C$12,Assumptions!$C$10)</f>
        <v>29</v>
      </c>
      <c r="O6" s="56">
        <f t="shared" si="3"/>
        <v>27.459624735456408</v>
      </c>
      <c r="P6" s="57">
        <f>Assumptions!$C$29</f>
        <v>10</v>
      </c>
      <c r="Q6" s="58">
        <f>Assumptions!$C$30</f>
        <v>1.6E-2</v>
      </c>
      <c r="R6" s="59">
        <f t="shared" si="4"/>
        <v>0.15150137785079398</v>
      </c>
      <c r="S6" s="59">
        <f t="shared" si="5"/>
        <v>27.308123357605613</v>
      </c>
      <c r="T6" s="60">
        <f t="shared" si="6"/>
        <v>0.99448275862068958</v>
      </c>
    </row>
    <row r="7" spans="1:20" x14ac:dyDescent="0.2">
      <c r="A7" s="49">
        <v>3</v>
      </c>
      <c r="B7" s="50">
        <f>EDATE(Assumptions!$C$5,A7-1)</f>
        <v>46327</v>
      </c>
      <c r="C7" s="49">
        <f t="shared" si="0"/>
        <v>1</v>
      </c>
      <c r="D7" s="51">
        <f>INDEX('Market Expansion'!$B$21:$B$56,A7)</f>
        <v>200</v>
      </c>
      <c r="E7" s="52">
        <f>INDEX(Seasonality!$E$8:$E$19,MONTH(B7))</f>
        <v>0.95238095238095233</v>
      </c>
      <c r="F7" s="53">
        <f>Assumptions!$C$16*(1+Assumptions!$C$17)^((A7-1)/12)</f>
        <v>2.5589176827953641E-2</v>
      </c>
      <c r="G7" s="35">
        <f t="shared" si="1"/>
        <v>4.874128919610218</v>
      </c>
      <c r="H7" s="35">
        <f>G7*Assumptions!$C$18</f>
        <v>1.9496515678440873</v>
      </c>
      <c r="I7" s="35">
        <f>H7*Assumptions!$C$19</f>
        <v>0.35093728221193571</v>
      </c>
      <c r="J7" s="35">
        <f>M6*Assumptions!$C$24</f>
        <v>1.4203254173511934E-2</v>
      </c>
      <c r="K7" s="35">
        <v>0</v>
      </c>
      <c r="L7" s="35">
        <f t="shared" si="2"/>
        <v>0.36514053638544763</v>
      </c>
      <c r="M7" s="54">
        <f>L7+M6*(1-Assumptions!$C$23)</f>
        <v>0.95220837555727433</v>
      </c>
      <c r="N7" s="55">
        <f>IF(A7&gt;=Assumptions!$C$11,Assumptions!$C$12,Assumptions!$C$10)</f>
        <v>29</v>
      </c>
      <c r="O7" s="56">
        <f t="shared" si="3"/>
        <v>27.614042891160956</v>
      </c>
      <c r="P7" s="57">
        <f>Assumptions!$C$29</f>
        <v>10</v>
      </c>
      <c r="Q7" s="58">
        <f>Assumptions!$C$30</f>
        <v>1.6E-2</v>
      </c>
      <c r="R7" s="59">
        <f t="shared" si="4"/>
        <v>0.1523533400891639</v>
      </c>
      <c r="S7" s="59">
        <f t="shared" si="5"/>
        <v>27.461689551071792</v>
      </c>
      <c r="T7" s="60">
        <f t="shared" si="6"/>
        <v>0.99448275862068969</v>
      </c>
    </row>
    <row r="8" spans="1:20" x14ac:dyDescent="0.2">
      <c r="A8" s="49">
        <v>4</v>
      </c>
      <c r="B8" s="50">
        <f>EDATE(Assumptions!$C$5,A8-1)</f>
        <v>46357</v>
      </c>
      <c r="C8" s="49">
        <f t="shared" si="0"/>
        <v>1</v>
      </c>
      <c r="D8" s="51">
        <f>INDEX('Market Expansion'!$B$21:$B$56,A8)</f>
        <v>200</v>
      </c>
      <c r="E8" s="52">
        <f>INDEX(Seasonality!$E$8:$E$19,MONTH(B8))</f>
        <v>0.5714285714285714</v>
      </c>
      <c r="F8" s="53">
        <f>Assumptions!$C$16*(1+Assumptions!$C$17)^((A8-1)/12)</f>
        <v>2.5888951908540556E-2</v>
      </c>
      <c r="G8" s="35">
        <f t="shared" si="1"/>
        <v>2.9587373609760634</v>
      </c>
      <c r="H8" s="35">
        <f>G8*Assumptions!$C$18</f>
        <v>1.1834949443904255</v>
      </c>
      <c r="I8" s="35">
        <f>H8*Assumptions!$C$19</f>
        <v>0.21302908999027659</v>
      </c>
      <c r="J8" s="35">
        <f>M7*Assumptions!$C$24</f>
        <v>1.4283125633359114E-2</v>
      </c>
      <c r="K8" s="35">
        <v>0</v>
      </c>
      <c r="L8" s="35">
        <f t="shared" si="2"/>
        <v>0.22731221562363571</v>
      </c>
      <c r="M8" s="54">
        <f>L8+M7*(1-Assumptions!$C$23)</f>
        <v>0.81768140846914572</v>
      </c>
      <c r="N8" s="55">
        <f>IF(A8&gt;=Assumptions!$C$11,Assumptions!$C$12,Assumptions!$C$10)</f>
        <v>29</v>
      </c>
      <c r="O8" s="56">
        <f t="shared" si="3"/>
        <v>23.712760845605224</v>
      </c>
      <c r="P8" s="57">
        <f>Assumptions!$C$29</f>
        <v>10</v>
      </c>
      <c r="Q8" s="58">
        <f>Assumptions!$C$30</f>
        <v>1.6E-2</v>
      </c>
      <c r="R8" s="59">
        <f t="shared" si="4"/>
        <v>0.13082902535506333</v>
      </c>
      <c r="S8" s="59">
        <f t="shared" si="5"/>
        <v>23.581931820250162</v>
      </c>
      <c r="T8" s="60">
        <f t="shared" si="6"/>
        <v>0.99448275862068969</v>
      </c>
    </row>
    <row r="9" spans="1:20" x14ac:dyDescent="0.2">
      <c r="A9" s="49">
        <v>5</v>
      </c>
      <c r="B9" s="50">
        <f>EDATE(Assumptions!$C$5,A9-1)</f>
        <v>46388</v>
      </c>
      <c r="C9" s="49">
        <f t="shared" si="0"/>
        <v>1</v>
      </c>
      <c r="D9" s="51">
        <f>INDEX('Market Expansion'!$B$21:$B$56,A9)</f>
        <v>200</v>
      </c>
      <c r="E9" s="52">
        <f>INDEX(Seasonality!$E$8:$E$19,MONTH(B9))</f>
        <v>0.8571428571428571</v>
      </c>
      <c r="F9" s="53">
        <f>Assumptions!$C$16*(1+Assumptions!$C$17)^((A9-1)/12)</f>
        <v>2.6192238829291184E-2</v>
      </c>
      <c r="G9" s="35">
        <f t="shared" si="1"/>
        <v>4.4900980850213461</v>
      </c>
      <c r="H9" s="35">
        <f>G9*Assumptions!$C$18</f>
        <v>1.7960392340085385</v>
      </c>
      <c r="I9" s="35">
        <f>H9*Assumptions!$C$19</f>
        <v>0.32328706212153691</v>
      </c>
      <c r="J9" s="35">
        <f>M8*Assumptions!$C$24</f>
        <v>1.2265221127037186E-2</v>
      </c>
      <c r="K9" s="35">
        <v>0</v>
      </c>
      <c r="L9" s="35">
        <f t="shared" si="2"/>
        <v>0.33555228324857411</v>
      </c>
      <c r="M9" s="54">
        <f>L9+M8*(1-Assumptions!$C$23)</f>
        <v>0.84251475649944441</v>
      </c>
      <c r="N9" s="55">
        <f>IF(A9&gt;=Assumptions!$C$11,Assumptions!$C$12,Assumptions!$C$10)</f>
        <v>29</v>
      </c>
      <c r="O9" s="56">
        <f t="shared" si="3"/>
        <v>24.432927938483889</v>
      </c>
      <c r="P9" s="57">
        <f>Assumptions!$C$29</f>
        <v>10</v>
      </c>
      <c r="Q9" s="58">
        <f>Assumptions!$C$30</f>
        <v>1.6E-2</v>
      </c>
      <c r="R9" s="59">
        <f t="shared" si="4"/>
        <v>0.13480236103991108</v>
      </c>
      <c r="S9" s="59">
        <f t="shared" si="5"/>
        <v>24.298125577443979</v>
      </c>
      <c r="T9" s="60">
        <f t="shared" si="6"/>
        <v>0.99448275862068969</v>
      </c>
    </row>
    <row r="10" spans="1:20" x14ac:dyDescent="0.2">
      <c r="A10" s="49">
        <v>6</v>
      </c>
      <c r="B10" s="50">
        <f>EDATE(Assumptions!$C$5,A10-1)</f>
        <v>46419</v>
      </c>
      <c r="C10" s="49">
        <f t="shared" si="0"/>
        <v>1</v>
      </c>
      <c r="D10" s="51">
        <f>INDEX('Market Expansion'!$B$21:$B$56,A10)</f>
        <v>200</v>
      </c>
      <c r="E10" s="52">
        <f>INDEX(Seasonality!$E$8:$E$19,MONTH(B10))</f>
        <v>1.0476190476190477</v>
      </c>
      <c r="F10" s="53">
        <f>Assumptions!$C$16*(1+Assumptions!$C$17)^((A10-1)/12)</f>
        <v>2.6499078731121284E-2</v>
      </c>
      <c r="G10" s="35">
        <f t="shared" si="1"/>
        <v>5.5521879246158878</v>
      </c>
      <c r="H10" s="35">
        <f>G10*Assumptions!$C$18</f>
        <v>2.2208751698463551</v>
      </c>
      <c r="I10" s="35">
        <f>H10*Assumptions!$C$19</f>
        <v>0.39975753057234392</v>
      </c>
      <c r="J10" s="35">
        <f>M9*Assumptions!$C$24</f>
        <v>1.2637721347491665E-2</v>
      </c>
      <c r="K10" s="35">
        <v>0</v>
      </c>
      <c r="L10" s="35">
        <f t="shared" si="2"/>
        <v>0.41239525191983561</v>
      </c>
      <c r="M10" s="54">
        <f>L10+M9*(1-Assumptions!$C$23)</f>
        <v>0.93475440094949114</v>
      </c>
      <c r="N10" s="55">
        <f>IF(A10&gt;=Assumptions!$C$11,Assumptions!$C$12,Assumptions!$C$10)</f>
        <v>29</v>
      </c>
      <c r="O10" s="56">
        <f t="shared" si="3"/>
        <v>27.107877627535242</v>
      </c>
      <c r="P10" s="57">
        <f>Assumptions!$C$29</f>
        <v>10</v>
      </c>
      <c r="Q10" s="58">
        <f>Assumptions!$C$30</f>
        <v>1.6E-2</v>
      </c>
      <c r="R10" s="59">
        <f t="shared" si="4"/>
        <v>0.14956070415191858</v>
      </c>
      <c r="S10" s="59">
        <f t="shared" si="5"/>
        <v>26.958316923383322</v>
      </c>
      <c r="T10" s="60">
        <f t="shared" si="6"/>
        <v>0.99448275862068958</v>
      </c>
    </row>
    <row r="11" spans="1:20" x14ac:dyDescent="0.2">
      <c r="A11" s="49">
        <v>7</v>
      </c>
      <c r="B11" s="50">
        <f>EDATE(Assumptions!$C$5,A11-1)</f>
        <v>46447</v>
      </c>
      <c r="C11" s="49">
        <f t="shared" si="0"/>
        <v>1</v>
      </c>
      <c r="D11" s="51">
        <f>INDEX('Market Expansion'!$B$21:$B$56,A11)</f>
        <v>200</v>
      </c>
      <c r="E11" s="52">
        <f>INDEX(Seasonality!$E$8:$E$19,MONTH(B11))</f>
        <v>1.1428571428571428</v>
      </c>
      <c r="F11" s="53">
        <f>Assumptions!$C$16*(1+Assumptions!$C$17)^((A11-1)/12)</f>
        <v>2.6809513236909024E-2</v>
      </c>
      <c r="G11" s="35">
        <f t="shared" si="1"/>
        <v>6.1278887398649191</v>
      </c>
      <c r="H11" s="35">
        <f>G11*Assumptions!$C$18</f>
        <v>2.4511554959459678</v>
      </c>
      <c r="I11" s="35">
        <f>H11*Assumptions!$C$19</f>
        <v>0.44120798927027421</v>
      </c>
      <c r="J11" s="35">
        <f>M10*Assumptions!$C$24</f>
        <v>1.4021316014242367E-2</v>
      </c>
      <c r="K11" s="35">
        <v>0</v>
      </c>
      <c r="L11" s="35">
        <f t="shared" si="2"/>
        <v>0.45522930528451661</v>
      </c>
      <c r="M11" s="54">
        <f>L11+M10*(1-Assumptions!$C$23)</f>
        <v>1.0347770338732012</v>
      </c>
      <c r="N11" s="55">
        <f>IF(A11&gt;=Assumptions!$C$11,Assumptions!$C$12,Assumptions!$C$10)</f>
        <v>29</v>
      </c>
      <c r="O11" s="56">
        <f t="shared" si="3"/>
        <v>30.008533982322835</v>
      </c>
      <c r="P11" s="57">
        <f>Assumptions!$C$29</f>
        <v>10</v>
      </c>
      <c r="Q11" s="58">
        <f>Assumptions!$C$30</f>
        <v>1.6E-2</v>
      </c>
      <c r="R11" s="59">
        <f t="shared" si="4"/>
        <v>0.16556432541971219</v>
      </c>
      <c r="S11" s="59">
        <f t="shared" si="5"/>
        <v>29.842969656903122</v>
      </c>
      <c r="T11" s="60">
        <f t="shared" si="6"/>
        <v>0.99448275862068969</v>
      </c>
    </row>
    <row r="12" spans="1:20" x14ac:dyDescent="0.2">
      <c r="A12" s="49">
        <v>8</v>
      </c>
      <c r="B12" s="50">
        <f>EDATE(Assumptions!$C$5,A12-1)</f>
        <v>46478</v>
      </c>
      <c r="C12" s="49">
        <f t="shared" si="0"/>
        <v>1</v>
      </c>
      <c r="D12" s="51">
        <f>INDEX('Market Expansion'!$B$21:$B$56,A12)</f>
        <v>200</v>
      </c>
      <c r="E12" s="52">
        <f>INDEX(Seasonality!$E$8:$E$19,MONTH(B12))</f>
        <v>0.76190476190476186</v>
      </c>
      <c r="F12" s="53">
        <f>Assumptions!$C$16*(1+Assumptions!$C$17)^((A12-1)/12)</f>
        <v>2.7123584457141116E-2</v>
      </c>
      <c r="G12" s="35">
        <f t="shared" si="1"/>
        <v>4.1331176315643603</v>
      </c>
      <c r="H12" s="35">
        <f>G12*Assumptions!$C$18</f>
        <v>1.6532470526257441</v>
      </c>
      <c r="I12" s="35">
        <f>H12*Assumptions!$C$19</f>
        <v>0.29758446947263395</v>
      </c>
      <c r="J12" s="35">
        <f>M11*Assumptions!$C$24</f>
        <v>1.5521655508098017E-2</v>
      </c>
      <c r="K12" s="35">
        <v>0</v>
      </c>
      <c r="L12" s="35">
        <f t="shared" si="2"/>
        <v>0.31310612498073198</v>
      </c>
      <c r="M12" s="54">
        <f>L12+M11*(1-Assumptions!$C$23)</f>
        <v>0.95466788598211672</v>
      </c>
      <c r="N12" s="55">
        <f>IF(A12&gt;=Assumptions!$C$11,Assumptions!$C$12,Assumptions!$C$10)</f>
        <v>29</v>
      </c>
      <c r="O12" s="56">
        <f t="shared" si="3"/>
        <v>27.685368693481387</v>
      </c>
      <c r="P12" s="57">
        <f>Assumptions!$C$29</f>
        <v>10</v>
      </c>
      <c r="Q12" s="58">
        <f>Assumptions!$C$30</f>
        <v>1.6E-2</v>
      </c>
      <c r="R12" s="59">
        <f t="shared" si="4"/>
        <v>0.15274686175713867</v>
      </c>
      <c r="S12" s="59">
        <f t="shared" si="5"/>
        <v>27.532621831724249</v>
      </c>
      <c r="T12" s="60">
        <f t="shared" si="6"/>
        <v>0.99448275862068969</v>
      </c>
    </row>
    <row r="13" spans="1:20" x14ac:dyDescent="0.2">
      <c r="A13" s="49">
        <v>9</v>
      </c>
      <c r="B13" s="50">
        <f>EDATE(Assumptions!$C$5,A13-1)</f>
        <v>46508</v>
      </c>
      <c r="C13" s="49">
        <f t="shared" si="0"/>
        <v>1</v>
      </c>
      <c r="D13" s="51">
        <f>INDEX('Market Expansion'!$B$21:$B$56,A13)</f>
        <v>200</v>
      </c>
      <c r="E13" s="52">
        <f>INDEX(Seasonality!$E$8:$E$19,MONTH(B13))</f>
        <v>0.47619047619047616</v>
      </c>
      <c r="F13" s="53">
        <f>Assumptions!$C$16*(1+Assumptions!$C$17)^((A13-1)/12)</f>
        <v>2.744133499562515E-2</v>
      </c>
      <c r="G13" s="35">
        <f t="shared" si="1"/>
        <v>2.6134604757738238</v>
      </c>
      <c r="H13" s="35">
        <f>G13*Assumptions!$C$18</f>
        <v>1.0453841903095296</v>
      </c>
      <c r="I13" s="35">
        <f>H13*Assumptions!$C$19</f>
        <v>0.18816915425571532</v>
      </c>
      <c r="J13" s="35">
        <f>M12*Assumptions!$C$24</f>
        <v>1.4320018289731749E-2</v>
      </c>
      <c r="K13" s="35">
        <v>0</v>
      </c>
      <c r="L13" s="35">
        <f t="shared" si="2"/>
        <v>0.20248917254544707</v>
      </c>
      <c r="M13" s="54">
        <f>L13+M12*(1-Assumptions!$C$23)</f>
        <v>0.79438326185435948</v>
      </c>
      <c r="N13" s="55">
        <f>IF(A13&gt;=Assumptions!$C$11,Assumptions!$C$12,Assumptions!$C$10)</f>
        <v>29</v>
      </c>
      <c r="O13" s="56">
        <f t="shared" si="3"/>
        <v>23.037114593776426</v>
      </c>
      <c r="P13" s="57">
        <f>Assumptions!$C$29</f>
        <v>10</v>
      </c>
      <c r="Q13" s="58">
        <f>Assumptions!$C$30</f>
        <v>1.6E-2</v>
      </c>
      <c r="R13" s="59">
        <f t="shared" si="4"/>
        <v>0.12710132189669751</v>
      </c>
      <c r="S13" s="59">
        <f t="shared" si="5"/>
        <v>22.910013271879727</v>
      </c>
      <c r="T13" s="60">
        <f t="shared" si="6"/>
        <v>0.99448275862068958</v>
      </c>
    </row>
    <row r="14" spans="1:20" x14ac:dyDescent="0.2">
      <c r="A14" s="49">
        <v>10</v>
      </c>
      <c r="B14" s="50">
        <f>EDATE(Assumptions!$C$5,A14-1)</f>
        <v>46539</v>
      </c>
      <c r="C14" s="49">
        <f t="shared" si="0"/>
        <v>1</v>
      </c>
      <c r="D14" s="51">
        <f>INDEX('Market Expansion'!$B$21:$B$56,A14)</f>
        <v>200</v>
      </c>
      <c r="E14" s="52">
        <f>INDEX(Seasonality!$E$8:$E$19,MONTH(B14))</f>
        <v>0.66666666666666663</v>
      </c>
      <c r="F14" s="53">
        <f>Assumptions!$C$16*(1+Assumptions!$C$17)^((A14-1)/12)</f>
        <v>2.776280795526876E-2</v>
      </c>
      <c r="G14" s="35">
        <f t="shared" si="1"/>
        <v>3.7017077273691683</v>
      </c>
      <c r="H14" s="35">
        <f>G14*Assumptions!$C$18</f>
        <v>1.4806830909476674</v>
      </c>
      <c r="I14" s="35">
        <f>H14*Assumptions!$C$19</f>
        <v>0.2665229563705801</v>
      </c>
      <c r="J14" s="35">
        <f>M13*Assumptions!$C$24</f>
        <v>1.1915748927815393E-2</v>
      </c>
      <c r="K14" s="35">
        <v>0</v>
      </c>
      <c r="L14" s="35">
        <f t="shared" si="2"/>
        <v>0.27843870529839548</v>
      </c>
      <c r="M14" s="54">
        <f>L14+M13*(1-Assumptions!$C$23)</f>
        <v>0.77095632764809841</v>
      </c>
      <c r="N14" s="55">
        <f>IF(A14&gt;=Assumptions!$C$11,Assumptions!$C$12,Assumptions!$C$10)</f>
        <v>29</v>
      </c>
      <c r="O14" s="56">
        <f t="shared" si="3"/>
        <v>22.357733501794854</v>
      </c>
      <c r="P14" s="57">
        <f>Assumptions!$C$29</f>
        <v>10</v>
      </c>
      <c r="Q14" s="58">
        <f>Assumptions!$C$30</f>
        <v>1.6E-2</v>
      </c>
      <c r="R14" s="59">
        <f t="shared" si="4"/>
        <v>0.12335301242369574</v>
      </c>
      <c r="S14" s="59">
        <f t="shared" si="5"/>
        <v>22.234380489371159</v>
      </c>
      <c r="T14" s="60">
        <f t="shared" si="6"/>
        <v>0.99448275862068969</v>
      </c>
    </row>
    <row r="15" spans="1:20" x14ac:dyDescent="0.2">
      <c r="A15" s="49">
        <v>11</v>
      </c>
      <c r="B15" s="50">
        <f>EDATE(Assumptions!$C$5,A15-1)</f>
        <v>46569</v>
      </c>
      <c r="C15" s="49">
        <f t="shared" si="0"/>
        <v>1</v>
      </c>
      <c r="D15" s="51">
        <f>INDEX('Market Expansion'!$B$21:$B$56,A15)</f>
        <v>200</v>
      </c>
      <c r="E15" s="52">
        <f>INDEX(Seasonality!$E$8:$E$19,MONTH(B15))</f>
        <v>0.95238095238095233</v>
      </c>
      <c r="F15" s="53">
        <f>Assumptions!$C$16*(1+Assumptions!$C$17)^((A15-1)/12)</f>
        <v>2.8088046943926578E-2</v>
      </c>
      <c r="G15" s="35">
        <f t="shared" si="1"/>
        <v>5.3501041797955384</v>
      </c>
      <c r="H15" s="35">
        <f>G15*Assumptions!$C$18</f>
        <v>2.1400416719182154</v>
      </c>
      <c r="I15" s="35">
        <f>H15*Assumptions!$C$19</f>
        <v>0.38520750094527878</v>
      </c>
      <c r="J15" s="35">
        <f>M14*Assumptions!$C$24</f>
        <v>1.1564344914721476E-2</v>
      </c>
      <c r="K15" s="35">
        <v>0</v>
      </c>
      <c r="L15" s="35">
        <f t="shared" si="2"/>
        <v>0.39677184586000025</v>
      </c>
      <c r="M15" s="54">
        <f>L15+M14*(1-Assumptions!$C$23)</f>
        <v>0.87476476900182121</v>
      </c>
      <c r="N15" s="55">
        <f>IF(A15&gt;=Assumptions!$C$11,Assumptions!$C$12,Assumptions!$C$10)</f>
        <v>29</v>
      </c>
      <c r="O15" s="56">
        <f t="shared" si="3"/>
        <v>25.368178301052815</v>
      </c>
      <c r="P15" s="57">
        <f>Assumptions!$C$29</f>
        <v>10</v>
      </c>
      <c r="Q15" s="58">
        <f>Assumptions!$C$30</f>
        <v>1.6E-2</v>
      </c>
      <c r="R15" s="59">
        <f t="shared" si="4"/>
        <v>0.13996236304029139</v>
      </c>
      <c r="S15" s="59">
        <f t="shared" si="5"/>
        <v>25.228215938012525</v>
      </c>
      <c r="T15" s="60">
        <f t="shared" si="6"/>
        <v>0.99448275862068969</v>
      </c>
    </row>
    <row r="16" spans="1:20" x14ac:dyDescent="0.2">
      <c r="A16" s="49">
        <v>12</v>
      </c>
      <c r="B16" s="50">
        <f>EDATE(Assumptions!$C$5,A16-1)</f>
        <v>46600</v>
      </c>
      <c r="C16" s="49">
        <f t="shared" si="0"/>
        <v>1</v>
      </c>
      <c r="D16" s="51">
        <f>INDEX('Market Expansion'!$B$21:$B$56,A16)</f>
        <v>200</v>
      </c>
      <c r="E16" s="52">
        <f>INDEX(Seasonality!$E$8:$E$19,MONTH(B16))</f>
        <v>1.3333333333333333</v>
      </c>
      <c r="F16" s="53">
        <f>Assumptions!$C$16*(1+Assumptions!$C$17)^((A16-1)/12)</f>
        <v>2.8417096080315615E-2</v>
      </c>
      <c r="G16" s="35">
        <f t="shared" si="1"/>
        <v>7.577892288084163</v>
      </c>
      <c r="H16" s="35">
        <f>G16*Assumptions!$C$18</f>
        <v>3.0311569152336655</v>
      </c>
      <c r="I16" s="35">
        <f>H16*Assumptions!$C$19</f>
        <v>0.54560824474205971</v>
      </c>
      <c r="J16" s="35">
        <f>M15*Assumptions!$C$24</f>
        <v>1.3121471535027318E-2</v>
      </c>
      <c r="K16" s="35">
        <v>0</v>
      </c>
      <c r="L16" s="35">
        <f t="shared" si="2"/>
        <v>0.55872971627708701</v>
      </c>
      <c r="M16" s="54">
        <f>L16+M15*(1-Assumptions!$C$23)</f>
        <v>1.1010838730582162</v>
      </c>
      <c r="N16" s="55">
        <f>IF(A16&gt;=Assumptions!$C$11,Assumptions!$C$12,Assumptions!$C$10)</f>
        <v>29</v>
      </c>
      <c r="O16" s="56">
        <f t="shared" si="3"/>
        <v>31.93143231868827</v>
      </c>
      <c r="P16" s="57">
        <f>Assumptions!$C$29</f>
        <v>10</v>
      </c>
      <c r="Q16" s="58">
        <f>Assumptions!$C$30</f>
        <v>1.6E-2</v>
      </c>
      <c r="R16" s="59">
        <f t="shared" si="4"/>
        <v>0.17617341968931458</v>
      </c>
      <c r="S16" s="59">
        <f t="shared" si="5"/>
        <v>31.755258898998957</v>
      </c>
      <c r="T16" s="60">
        <f t="shared" si="6"/>
        <v>0.99448275862068969</v>
      </c>
    </row>
    <row r="17" spans="1:20" x14ac:dyDescent="0.2">
      <c r="A17" s="49">
        <v>13</v>
      </c>
      <c r="B17" s="50">
        <f>EDATE(Assumptions!$C$5,A17-1)</f>
        <v>46631</v>
      </c>
      <c r="C17" s="49">
        <f t="shared" si="0"/>
        <v>2</v>
      </c>
      <c r="D17" s="51">
        <f>INDEX('Market Expansion'!$B$21:$B$56,A17)</f>
        <v>5000</v>
      </c>
      <c r="E17" s="52">
        <f>INDEX(Seasonality!$E$8:$E$19,MONTH(B17))</f>
        <v>1.7142857142857142</v>
      </c>
      <c r="F17" s="53">
        <f>Assumptions!$C$16*(1+Assumptions!$C$17)^((A17-1)/12)</f>
        <v>2.8749999999999998E-2</v>
      </c>
      <c r="G17" s="35">
        <f t="shared" si="1"/>
        <v>246.42857142857142</v>
      </c>
      <c r="H17" s="35">
        <f>G17*Assumptions!$C$18</f>
        <v>98.571428571428569</v>
      </c>
      <c r="I17" s="35">
        <f>H17*Assumptions!$C$19</f>
        <v>17.74285714285714</v>
      </c>
      <c r="J17" s="35">
        <f>M16*Assumptions!$C$24</f>
        <v>1.6516258095873242E-2</v>
      </c>
      <c r="K17" s="35">
        <f>M5*Assumptions!$C$25</f>
        <v>3.7028571428571432E-2</v>
      </c>
      <c r="L17" s="35">
        <f t="shared" si="2"/>
        <v>17.796401972381584</v>
      </c>
      <c r="M17" s="54">
        <f>L17+M16*(1-Assumptions!$C$23)</f>
        <v>18.479073973677679</v>
      </c>
      <c r="N17" s="55">
        <f>IF(A17&gt;=Assumptions!$C$11,Assumptions!$C$12,Assumptions!$C$10)</f>
        <v>29</v>
      </c>
      <c r="O17" s="56">
        <f t="shared" si="3"/>
        <v>535.89314523665269</v>
      </c>
      <c r="P17" s="57">
        <f>Assumptions!$C$29</f>
        <v>10</v>
      </c>
      <c r="Q17" s="58">
        <f>Assumptions!$C$30</f>
        <v>1.6E-2</v>
      </c>
      <c r="R17" s="59">
        <f t="shared" si="4"/>
        <v>2.9566518357884291</v>
      </c>
      <c r="S17" s="59">
        <f t="shared" si="5"/>
        <v>532.93649340086426</v>
      </c>
      <c r="T17" s="60">
        <f t="shared" si="6"/>
        <v>0.99448275862068969</v>
      </c>
    </row>
    <row r="18" spans="1:20" x14ac:dyDescent="0.2">
      <c r="A18" s="49">
        <v>14</v>
      </c>
      <c r="B18" s="50">
        <f>EDATE(Assumptions!$C$5,A18-1)</f>
        <v>46661</v>
      </c>
      <c r="C18" s="49">
        <f t="shared" si="0"/>
        <v>2</v>
      </c>
      <c r="D18" s="51">
        <f>INDEX('Market Expansion'!$B$21:$B$56,A18)</f>
        <v>5000</v>
      </c>
      <c r="E18" s="52">
        <f>INDEX(Seasonality!$E$8:$E$19,MONTH(B18))</f>
        <v>1.5238095238095237</v>
      </c>
      <c r="F18" s="53">
        <f>Assumptions!$C$16*(1+Assumptions!$C$17)^((A18-1)/12)</f>
        <v>2.9086803861445784E-2</v>
      </c>
      <c r="G18" s="35">
        <f t="shared" si="1"/>
        <v>221.61374370625356</v>
      </c>
      <c r="H18" s="35">
        <f>G18*Assumptions!$C$18</f>
        <v>88.645497482501426</v>
      </c>
      <c r="I18" s="35">
        <f>H18*Assumptions!$C$19</f>
        <v>15.956189546850256</v>
      </c>
      <c r="J18" s="35">
        <f>M17*Assumptions!$C$24</f>
        <v>0.27718610960516515</v>
      </c>
      <c r="K18" s="35">
        <f>M6*Assumptions!$C$25</f>
        <v>5.6813016694047737E-2</v>
      </c>
      <c r="L18" s="35">
        <f t="shared" si="2"/>
        <v>16.290188673149469</v>
      </c>
      <c r="M18" s="54">
        <f>L18+M17*(1-Assumptions!$C$23)</f>
        <v>27.747214536829631</v>
      </c>
      <c r="N18" s="55">
        <f>IF(A18&gt;=Assumptions!$C$11,Assumptions!$C$12,Assumptions!$C$10)</f>
        <v>29</v>
      </c>
      <c r="O18" s="56">
        <f t="shared" si="3"/>
        <v>804.66922156805936</v>
      </c>
      <c r="P18" s="57">
        <f>Assumptions!$C$29</f>
        <v>10</v>
      </c>
      <c r="Q18" s="58">
        <f>Assumptions!$C$30</f>
        <v>1.6E-2</v>
      </c>
      <c r="R18" s="59">
        <f t="shared" si="4"/>
        <v>4.4395543258927415</v>
      </c>
      <c r="S18" s="59">
        <f t="shared" si="5"/>
        <v>800.22966724216667</v>
      </c>
      <c r="T18" s="60">
        <f t="shared" si="6"/>
        <v>0.99448275862068969</v>
      </c>
    </row>
    <row r="19" spans="1:20" x14ac:dyDescent="0.2">
      <c r="A19" s="49">
        <v>15</v>
      </c>
      <c r="B19" s="50">
        <f>EDATE(Assumptions!$C$5,A19-1)</f>
        <v>46692</v>
      </c>
      <c r="C19" s="49">
        <f t="shared" si="0"/>
        <v>2</v>
      </c>
      <c r="D19" s="51">
        <f>INDEX('Market Expansion'!$B$21:$B$56,A19)</f>
        <v>5000</v>
      </c>
      <c r="E19" s="52">
        <f>INDEX(Seasonality!$E$8:$E$19,MONTH(B19))</f>
        <v>0.95238095238095233</v>
      </c>
      <c r="F19" s="53">
        <f>Assumptions!$C$16*(1+Assumptions!$C$17)^((A19-1)/12)</f>
        <v>2.9427553352146685E-2</v>
      </c>
      <c r="G19" s="35">
        <f t="shared" si="1"/>
        <v>140.13120643879373</v>
      </c>
      <c r="H19" s="35">
        <f>G19*Assumptions!$C$18</f>
        <v>56.052482575517494</v>
      </c>
      <c r="I19" s="35">
        <f>H19*Assumptions!$C$19</f>
        <v>10.089446863593148</v>
      </c>
      <c r="J19" s="35">
        <f>M18*Assumptions!$C$24</f>
        <v>0.41620821805244446</v>
      </c>
      <c r="K19" s="35">
        <f>M7*Assumptions!$C$25</f>
        <v>5.7132502533436456E-2</v>
      </c>
      <c r="L19" s="35">
        <f t="shared" si="2"/>
        <v>10.562787584179029</v>
      </c>
      <c r="M19" s="54">
        <f>L19+M18*(1-Assumptions!$C$23)</f>
        <v>27.7660605970134</v>
      </c>
      <c r="N19" s="55">
        <f>IF(A19&gt;=Assumptions!$C$11,Assumptions!$C$12,Assumptions!$C$10)</f>
        <v>29</v>
      </c>
      <c r="O19" s="56">
        <f t="shared" si="3"/>
        <v>805.21575731338862</v>
      </c>
      <c r="P19" s="57">
        <f>Assumptions!$C$29</f>
        <v>10</v>
      </c>
      <c r="Q19" s="58">
        <f>Assumptions!$C$30</f>
        <v>1.6E-2</v>
      </c>
      <c r="R19" s="59">
        <f t="shared" si="4"/>
        <v>4.4425696955221436</v>
      </c>
      <c r="S19" s="59">
        <f t="shared" si="5"/>
        <v>800.77318761786648</v>
      </c>
      <c r="T19" s="60">
        <f t="shared" si="6"/>
        <v>0.99448275862068969</v>
      </c>
    </row>
    <row r="20" spans="1:20" x14ac:dyDescent="0.2">
      <c r="A20" s="49">
        <v>16</v>
      </c>
      <c r="B20" s="50">
        <f>EDATE(Assumptions!$C$5,A20-1)</f>
        <v>46722</v>
      </c>
      <c r="C20" s="49">
        <f t="shared" si="0"/>
        <v>2</v>
      </c>
      <c r="D20" s="51">
        <f>INDEX('Market Expansion'!$B$21:$B$56,A20)</f>
        <v>5000</v>
      </c>
      <c r="E20" s="52">
        <f>INDEX(Seasonality!$E$8:$E$19,MONTH(B20))</f>
        <v>0.5714285714285714</v>
      </c>
      <c r="F20" s="53">
        <f>Assumptions!$C$16*(1+Assumptions!$C$17)^((A20-1)/12)</f>
        <v>2.9772294694821635E-2</v>
      </c>
      <c r="G20" s="35">
        <f t="shared" si="1"/>
        <v>85.063699128061813</v>
      </c>
      <c r="H20" s="35">
        <f>G20*Assumptions!$C$18</f>
        <v>34.025479651224728</v>
      </c>
      <c r="I20" s="35">
        <f>H20*Assumptions!$C$19</f>
        <v>6.1245863372204505</v>
      </c>
      <c r="J20" s="35">
        <f>M19*Assumptions!$C$24</f>
        <v>0.41649090895520097</v>
      </c>
      <c r="K20" s="35">
        <f>M8*Assumptions!$C$25</f>
        <v>4.9060884508148744E-2</v>
      </c>
      <c r="L20" s="35">
        <f t="shared" si="2"/>
        <v>6.5901381306838003</v>
      </c>
      <c r="M20" s="54">
        <f>L20+M19*(1-Assumptions!$C$23)</f>
        <v>23.805095700832108</v>
      </c>
      <c r="N20" s="55">
        <f>IF(A20&gt;=Assumptions!$C$11,Assumptions!$C$12,Assumptions!$C$10)</f>
        <v>29</v>
      </c>
      <c r="O20" s="56">
        <f t="shared" si="3"/>
        <v>690.34777532413113</v>
      </c>
      <c r="P20" s="57">
        <f>Assumptions!$C$29</f>
        <v>10</v>
      </c>
      <c r="Q20" s="58">
        <f>Assumptions!$C$30</f>
        <v>1.6E-2</v>
      </c>
      <c r="R20" s="59">
        <f t="shared" si="4"/>
        <v>3.8088153121331376</v>
      </c>
      <c r="S20" s="59">
        <f t="shared" si="5"/>
        <v>686.53896001199803</v>
      </c>
      <c r="T20" s="60">
        <f t="shared" si="6"/>
        <v>0.99448275862068969</v>
      </c>
    </row>
    <row r="21" spans="1:20" x14ac:dyDescent="0.2">
      <c r="A21" s="49">
        <v>17</v>
      </c>
      <c r="B21" s="50">
        <f>EDATE(Assumptions!$C$5,A21-1)</f>
        <v>46753</v>
      </c>
      <c r="C21" s="49">
        <f t="shared" si="0"/>
        <v>2</v>
      </c>
      <c r="D21" s="51">
        <f>INDEX('Market Expansion'!$B$21:$B$56,A21)</f>
        <v>5000</v>
      </c>
      <c r="E21" s="52">
        <f>INDEX(Seasonality!$E$8:$E$19,MONTH(B21))</f>
        <v>0.8571428571428571</v>
      </c>
      <c r="F21" s="53">
        <f>Assumptions!$C$16*(1+Assumptions!$C$17)^((A21-1)/12)</f>
        <v>3.0121074653684861E-2</v>
      </c>
      <c r="G21" s="35">
        <f t="shared" si="1"/>
        <v>129.09031994436367</v>
      </c>
      <c r="H21" s="35">
        <f>G21*Assumptions!$C$18</f>
        <v>51.636127977745474</v>
      </c>
      <c r="I21" s="35">
        <f>H21*Assumptions!$C$19</f>
        <v>9.2945030359941843</v>
      </c>
      <c r="J21" s="35">
        <f>M20*Assumptions!$C$24</f>
        <v>0.35707643551248164</v>
      </c>
      <c r="K21" s="35">
        <f>M9*Assumptions!$C$25</f>
        <v>5.055088538996666E-2</v>
      </c>
      <c r="L21" s="35">
        <f t="shared" si="2"/>
        <v>9.7021303568966335</v>
      </c>
      <c r="M21" s="54">
        <f>L21+M20*(1-Assumptions!$C$23)</f>
        <v>24.461289691412539</v>
      </c>
      <c r="N21" s="55">
        <f>IF(A21&gt;=Assumptions!$C$11,Assumptions!$C$12,Assumptions!$C$10)</f>
        <v>29</v>
      </c>
      <c r="O21" s="56">
        <f t="shared" si="3"/>
        <v>709.37740105096361</v>
      </c>
      <c r="P21" s="57">
        <f>Assumptions!$C$29</f>
        <v>10</v>
      </c>
      <c r="Q21" s="58">
        <f>Assumptions!$C$30</f>
        <v>1.6E-2</v>
      </c>
      <c r="R21" s="59">
        <f t="shared" si="4"/>
        <v>3.9138063506260061</v>
      </c>
      <c r="S21" s="59">
        <f t="shared" si="5"/>
        <v>705.46359470033758</v>
      </c>
      <c r="T21" s="60">
        <f t="shared" si="6"/>
        <v>0.99448275862068958</v>
      </c>
    </row>
    <row r="22" spans="1:20" x14ac:dyDescent="0.2">
      <c r="A22" s="49">
        <v>18</v>
      </c>
      <c r="B22" s="50">
        <f>EDATE(Assumptions!$C$5,A22-1)</f>
        <v>46784</v>
      </c>
      <c r="C22" s="49">
        <f t="shared" si="0"/>
        <v>2</v>
      </c>
      <c r="D22" s="51">
        <f>INDEX('Market Expansion'!$B$21:$B$56,A22)</f>
        <v>5000</v>
      </c>
      <c r="E22" s="52">
        <f>INDEX(Seasonality!$E$8:$E$19,MONTH(B22))</f>
        <v>1.0476190476190477</v>
      </c>
      <c r="F22" s="53">
        <f>Assumptions!$C$16*(1+Assumptions!$C$17)^((A22-1)/12)</f>
        <v>3.0473940540789474E-2</v>
      </c>
      <c r="G22" s="35">
        <f t="shared" si="1"/>
        <v>159.62540283270678</v>
      </c>
      <c r="H22" s="35">
        <f>G22*Assumptions!$C$18</f>
        <v>63.850161133082715</v>
      </c>
      <c r="I22" s="35">
        <f>H22*Assumptions!$C$19</f>
        <v>11.493029003954888</v>
      </c>
      <c r="J22" s="35">
        <f>M21*Assumptions!$C$24</f>
        <v>0.36691934537118809</v>
      </c>
      <c r="K22" s="35">
        <f>M10*Assumptions!$C$25</f>
        <v>5.6085264056969467E-2</v>
      </c>
      <c r="L22" s="35">
        <f t="shared" si="2"/>
        <v>11.916033613383046</v>
      </c>
      <c r="M22" s="54">
        <f>L22+M21*(1-Assumptions!$C$23)</f>
        <v>27.082033222058818</v>
      </c>
      <c r="N22" s="55">
        <f>IF(A22&gt;=Assumptions!$C$11,Assumptions!$C$12,Assumptions!$C$10)</f>
        <v>29</v>
      </c>
      <c r="O22" s="56">
        <f t="shared" si="3"/>
        <v>785.37896343970579</v>
      </c>
      <c r="P22" s="57">
        <f>Assumptions!$C$29</f>
        <v>10</v>
      </c>
      <c r="Q22" s="58">
        <f>Assumptions!$C$30</f>
        <v>1.6E-2</v>
      </c>
      <c r="R22" s="59">
        <f t="shared" si="4"/>
        <v>4.3331253155294105</v>
      </c>
      <c r="S22" s="59">
        <f t="shared" si="5"/>
        <v>781.04583812417638</v>
      </c>
      <c r="T22" s="60">
        <f t="shared" si="6"/>
        <v>0.99448275862068969</v>
      </c>
    </row>
    <row r="23" spans="1:20" x14ac:dyDescent="0.2">
      <c r="A23" s="49">
        <v>19</v>
      </c>
      <c r="B23" s="50">
        <f>EDATE(Assumptions!$C$5,A23-1)</f>
        <v>46813</v>
      </c>
      <c r="C23" s="49">
        <f t="shared" si="0"/>
        <v>2</v>
      </c>
      <c r="D23" s="51">
        <f>INDEX('Market Expansion'!$B$21:$B$56,A23)</f>
        <v>5000</v>
      </c>
      <c r="E23" s="52">
        <f>INDEX(Seasonality!$E$8:$E$19,MONTH(B23))</f>
        <v>1.1428571428571428</v>
      </c>
      <c r="F23" s="53">
        <f>Assumptions!$C$16*(1+Assumptions!$C$17)^((A23-1)/12)</f>
        <v>3.0830940222445369E-2</v>
      </c>
      <c r="G23" s="35">
        <f t="shared" si="1"/>
        <v>176.17680127111637</v>
      </c>
      <c r="H23" s="35">
        <f>G23*Assumptions!$C$18</f>
        <v>70.470720508446547</v>
      </c>
      <c r="I23" s="35">
        <f>H23*Assumptions!$C$19</f>
        <v>12.684729691520378</v>
      </c>
      <c r="J23" s="35">
        <f>M22*Assumptions!$C$24</f>
        <v>0.40623049833088226</v>
      </c>
      <c r="K23" s="35">
        <f>M11*Assumptions!$C$25</f>
        <v>6.2086622032392069E-2</v>
      </c>
      <c r="L23" s="35">
        <f t="shared" si="2"/>
        <v>13.153046811883653</v>
      </c>
      <c r="M23" s="54">
        <f>L23+M22*(1-Assumptions!$C$23)</f>
        <v>29.943907409560119</v>
      </c>
      <c r="N23" s="55">
        <f>IF(A23&gt;=Assumptions!$C$11,Assumptions!$C$12,Assumptions!$C$10)</f>
        <v>29</v>
      </c>
      <c r="O23" s="56">
        <f t="shared" si="3"/>
        <v>868.37331487724339</v>
      </c>
      <c r="P23" s="57">
        <f>Assumptions!$C$29</f>
        <v>10</v>
      </c>
      <c r="Q23" s="58">
        <f>Assumptions!$C$30</f>
        <v>1.6E-2</v>
      </c>
      <c r="R23" s="59">
        <f t="shared" si="4"/>
        <v>4.7910251855296195</v>
      </c>
      <c r="S23" s="59">
        <f t="shared" si="5"/>
        <v>863.58228969171375</v>
      </c>
      <c r="T23" s="60">
        <f t="shared" si="6"/>
        <v>0.99448275862068969</v>
      </c>
    </row>
    <row r="24" spans="1:20" x14ac:dyDescent="0.2">
      <c r="A24" s="49">
        <v>20</v>
      </c>
      <c r="B24" s="50">
        <f>EDATE(Assumptions!$C$5,A24-1)</f>
        <v>46844</v>
      </c>
      <c r="C24" s="49">
        <f t="shared" si="0"/>
        <v>2</v>
      </c>
      <c r="D24" s="51">
        <f>INDEX('Market Expansion'!$B$21:$B$56,A24)</f>
        <v>5000</v>
      </c>
      <c r="E24" s="52">
        <f>INDEX(Seasonality!$E$8:$E$19,MONTH(B24))</f>
        <v>0.76190476190476186</v>
      </c>
      <c r="F24" s="53">
        <f>Assumptions!$C$16*(1+Assumptions!$C$17)^((A24-1)/12)</f>
        <v>3.119212212571228E-2</v>
      </c>
      <c r="G24" s="35">
        <f t="shared" si="1"/>
        <v>118.82713190747535</v>
      </c>
      <c r="H24" s="35">
        <f>G24*Assumptions!$C$18</f>
        <v>47.530852762990143</v>
      </c>
      <c r="I24" s="35">
        <f>H24*Assumptions!$C$19</f>
        <v>8.5555534973382255</v>
      </c>
      <c r="J24" s="35">
        <f>M23*Assumptions!$C$24</f>
        <v>0.44915861114340178</v>
      </c>
      <c r="K24" s="35">
        <f>M12*Assumptions!$C$25</f>
        <v>5.7280073158926997E-2</v>
      </c>
      <c r="L24" s="35">
        <f t="shared" si="2"/>
        <v>9.0619921816405533</v>
      </c>
      <c r="M24" s="54">
        <f>L24+M23*(1-Assumptions!$C$23)</f>
        <v>27.627214775567829</v>
      </c>
      <c r="N24" s="55">
        <f>IF(A24&gt;=Assumptions!$C$11,Assumptions!$C$12,Assumptions!$C$10)</f>
        <v>29</v>
      </c>
      <c r="O24" s="56">
        <f t="shared" si="3"/>
        <v>801.18922849146702</v>
      </c>
      <c r="P24" s="57">
        <f>Assumptions!$C$29</f>
        <v>10</v>
      </c>
      <c r="Q24" s="58">
        <f>Assumptions!$C$30</f>
        <v>1.6E-2</v>
      </c>
      <c r="R24" s="59">
        <f t="shared" si="4"/>
        <v>4.4203543640908531</v>
      </c>
      <c r="S24" s="59">
        <f t="shared" si="5"/>
        <v>796.76887412737619</v>
      </c>
      <c r="T24" s="60">
        <f t="shared" si="6"/>
        <v>0.99448275862068969</v>
      </c>
    </row>
    <row r="25" spans="1:20" x14ac:dyDescent="0.2">
      <c r="A25" s="49">
        <v>21</v>
      </c>
      <c r="B25" s="50">
        <f>EDATE(Assumptions!$C$5,A25-1)</f>
        <v>46874</v>
      </c>
      <c r="C25" s="49">
        <f t="shared" si="0"/>
        <v>2</v>
      </c>
      <c r="D25" s="51">
        <f>INDEX('Market Expansion'!$B$21:$B$56,A25)</f>
        <v>5000</v>
      </c>
      <c r="E25" s="52">
        <f>INDEX(Seasonality!$E$8:$E$19,MONTH(B25))</f>
        <v>0.47619047619047616</v>
      </c>
      <c r="F25" s="53">
        <f>Assumptions!$C$16*(1+Assumptions!$C$17)^((A25-1)/12)</f>
        <v>3.1557535244968918E-2</v>
      </c>
      <c r="G25" s="35">
        <f t="shared" si="1"/>
        <v>75.136988678497431</v>
      </c>
      <c r="H25" s="35">
        <f>G25*Assumptions!$C$18</f>
        <v>30.054795471398975</v>
      </c>
      <c r="I25" s="35">
        <f>H25*Assumptions!$C$19</f>
        <v>5.4098631848518153</v>
      </c>
      <c r="J25" s="35">
        <f>M24*Assumptions!$C$24</f>
        <v>0.41440822163351743</v>
      </c>
      <c r="K25" s="35">
        <f>M13*Assumptions!$C$25</f>
        <v>4.766299571126157E-2</v>
      </c>
      <c r="L25" s="35">
        <f t="shared" si="2"/>
        <v>5.8719344021965947</v>
      </c>
      <c r="M25" s="54">
        <f>L25+M24*(1-Assumptions!$C$23)</f>
        <v>23.000807563048646</v>
      </c>
      <c r="N25" s="55">
        <f>IF(A25&gt;=Assumptions!$C$11,Assumptions!$C$12,Assumptions!$C$10)</f>
        <v>29</v>
      </c>
      <c r="O25" s="56">
        <f t="shared" si="3"/>
        <v>667.02341932841068</v>
      </c>
      <c r="P25" s="57">
        <f>Assumptions!$C$29</f>
        <v>10</v>
      </c>
      <c r="Q25" s="58">
        <f>Assumptions!$C$30</f>
        <v>1.6E-2</v>
      </c>
      <c r="R25" s="59">
        <f t="shared" si="4"/>
        <v>3.6801292100877836</v>
      </c>
      <c r="S25" s="59">
        <f t="shared" si="5"/>
        <v>663.3432901183229</v>
      </c>
      <c r="T25" s="60">
        <f t="shared" si="6"/>
        <v>0.99448275862068969</v>
      </c>
    </row>
    <row r="26" spans="1:20" x14ac:dyDescent="0.2">
      <c r="A26" s="49">
        <v>22</v>
      </c>
      <c r="B26" s="50">
        <f>EDATE(Assumptions!$C$5,A26-1)</f>
        <v>46905</v>
      </c>
      <c r="C26" s="49">
        <f t="shared" si="0"/>
        <v>2</v>
      </c>
      <c r="D26" s="51">
        <f>INDEX('Market Expansion'!$B$21:$B$56,A26)</f>
        <v>5000</v>
      </c>
      <c r="E26" s="52">
        <f>INDEX(Seasonality!$E$8:$E$19,MONTH(B26))</f>
        <v>0.66666666666666663</v>
      </c>
      <c r="F26" s="53">
        <f>Assumptions!$C$16*(1+Assumptions!$C$17)^((A26-1)/12)</f>
        <v>3.1927229148559076E-2</v>
      </c>
      <c r="G26" s="35">
        <f t="shared" si="1"/>
        <v>106.42409716186359</v>
      </c>
      <c r="H26" s="35">
        <f>G26*Assumptions!$C$18</f>
        <v>42.569638864745436</v>
      </c>
      <c r="I26" s="35">
        <f>H26*Assumptions!$C$19</f>
        <v>7.6625349956541777</v>
      </c>
      <c r="J26" s="35">
        <f>M25*Assumptions!$C$24</f>
        <v>0.34501211344572968</v>
      </c>
      <c r="K26" s="35">
        <f>M14*Assumptions!$C$25</f>
        <v>4.6257379658885905E-2</v>
      </c>
      <c r="L26" s="35">
        <f t="shared" si="2"/>
        <v>8.053804488758793</v>
      </c>
      <c r="M26" s="54">
        <f>L26+M25*(1-Assumptions!$C$23)</f>
        <v>22.314305177848951</v>
      </c>
      <c r="N26" s="55">
        <f>IF(A26&gt;=Assumptions!$C$11,Assumptions!$C$12,Assumptions!$C$10)</f>
        <v>29</v>
      </c>
      <c r="O26" s="56">
        <f t="shared" si="3"/>
        <v>647.11485015761957</v>
      </c>
      <c r="P26" s="57">
        <f>Assumptions!$C$29</f>
        <v>10</v>
      </c>
      <c r="Q26" s="58">
        <f>Assumptions!$C$30</f>
        <v>1.6E-2</v>
      </c>
      <c r="R26" s="59">
        <f t="shared" si="4"/>
        <v>3.5702888284558321</v>
      </c>
      <c r="S26" s="59">
        <f t="shared" si="5"/>
        <v>643.54456132916368</v>
      </c>
      <c r="T26" s="60">
        <f t="shared" si="6"/>
        <v>0.99448275862068958</v>
      </c>
    </row>
    <row r="27" spans="1:20" x14ac:dyDescent="0.2">
      <c r="A27" s="49">
        <v>23</v>
      </c>
      <c r="B27" s="50">
        <f>EDATE(Assumptions!$C$5,A27-1)</f>
        <v>46935</v>
      </c>
      <c r="C27" s="49">
        <f t="shared" si="0"/>
        <v>2</v>
      </c>
      <c r="D27" s="51">
        <f>INDEX('Market Expansion'!$B$21:$B$56,A27)</f>
        <v>5000</v>
      </c>
      <c r="E27" s="52">
        <f>INDEX(Seasonality!$E$8:$E$19,MONTH(B27))</f>
        <v>0.95238095238095233</v>
      </c>
      <c r="F27" s="53">
        <f>Assumptions!$C$16*(1+Assumptions!$C$17)^((A27-1)/12)</f>
        <v>3.2301253985515553E-2</v>
      </c>
      <c r="G27" s="35">
        <f t="shared" si="1"/>
        <v>153.81549516912168</v>
      </c>
      <c r="H27" s="35">
        <f>G27*Assumptions!$C$18</f>
        <v>61.526198067648671</v>
      </c>
      <c r="I27" s="35">
        <f>H27*Assumptions!$C$19</f>
        <v>11.07471565217676</v>
      </c>
      <c r="J27" s="35">
        <f>M26*Assumptions!$C$24</f>
        <v>0.33471457766773427</v>
      </c>
      <c r="K27" s="35">
        <f>M15*Assumptions!$C$25</f>
        <v>5.2485886140109274E-2</v>
      </c>
      <c r="L27" s="35">
        <f t="shared" si="2"/>
        <v>11.461916115984604</v>
      </c>
      <c r="M27" s="54">
        <f>L27+M26*(1-Assumptions!$C$23)</f>
        <v>25.296785326250955</v>
      </c>
      <c r="N27" s="55">
        <f>IF(A27&gt;=Assumptions!$C$11,Assumptions!$C$12,Assumptions!$C$10)</f>
        <v>29</v>
      </c>
      <c r="O27" s="56">
        <f t="shared" si="3"/>
        <v>733.60677446127772</v>
      </c>
      <c r="P27" s="57">
        <f>Assumptions!$C$29</f>
        <v>10</v>
      </c>
      <c r="Q27" s="58">
        <f>Assumptions!$C$30</f>
        <v>1.6E-2</v>
      </c>
      <c r="R27" s="59">
        <f t="shared" si="4"/>
        <v>4.0474856522001526</v>
      </c>
      <c r="S27" s="59">
        <f t="shared" si="5"/>
        <v>729.55928880907754</v>
      </c>
      <c r="T27" s="60">
        <f t="shared" si="6"/>
        <v>0.99448275862068958</v>
      </c>
    </row>
    <row r="28" spans="1:20" x14ac:dyDescent="0.2">
      <c r="A28" s="49">
        <v>24</v>
      </c>
      <c r="B28" s="50">
        <f>EDATE(Assumptions!$C$5,A28-1)</f>
        <v>46966</v>
      </c>
      <c r="C28" s="49">
        <f t="shared" si="0"/>
        <v>2</v>
      </c>
      <c r="D28" s="51">
        <f>INDEX('Market Expansion'!$B$21:$B$56,A28)</f>
        <v>5000</v>
      </c>
      <c r="E28" s="52">
        <f>INDEX(Seasonality!$E$8:$E$19,MONTH(B28))</f>
        <v>1.3333333333333333</v>
      </c>
      <c r="F28" s="53">
        <f>Assumptions!$C$16*(1+Assumptions!$C$17)^((A28-1)/12)</f>
        <v>3.2679660492362955E-2</v>
      </c>
      <c r="G28" s="35">
        <f t="shared" si="1"/>
        <v>217.86440328241969</v>
      </c>
      <c r="H28" s="35">
        <f>G28*Assumptions!$C$18</f>
        <v>87.145761312967878</v>
      </c>
      <c r="I28" s="35">
        <f>H28*Assumptions!$C$19</f>
        <v>15.686237036334218</v>
      </c>
      <c r="J28" s="35">
        <f>M27*Assumptions!$C$24</f>
        <v>0.37945177989376433</v>
      </c>
      <c r="K28" s="35">
        <f>M16*Assumptions!$C$25</f>
        <v>6.6065032383492969E-2</v>
      </c>
      <c r="L28" s="35">
        <f t="shared" si="2"/>
        <v>16.131753848611474</v>
      </c>
      <c r="M28" s="54">
        <f>L28+M27*(1-Assumptions!$C$23)</f>
        <v>31.815760750887065</v>
      </c>
      <c r="N28" s="55">
        <f>IF(A28&gt;=Assumptions!$C$11,Assumptions!$C$12,Assumptions!$C$10)</f>
        <v>29</v>
      </c>
      <c r="O28" s="56">
        <f t="shared" si="3"/>
        <v>922.65706177572486</v>
      </c>
      <c r="P28" s="57">
        <f>Assumptions!$C$29</f>
        <v>10</v>
      </c>
      <c r="Q28" s="58">
        <f>Assumptions!$C$30</f>
        <v>1.6E-2</v>
      </c>
      <c r="R28" s="59">
        <f t="shared" si="4"/>
        <v>5.0905217201419308</v>
      </c>
      <c r="S28" s="59">
        <f t="shared" si="5"/>
        <v>917.56654005558289</v>
      </c>
      <c r="T28" s="60">
        <f t="shared" si="6"/>
        <v>0.99448275862068958</v>
      </c>
    </row>
    <row r="29" spans="1:20" x14ac:dyDescent="0.2">
      <c r="A29" s="49">
        <v>25</v>
      </c>
      <c r="B29" s="50">
        <f>EDATE(Assumptions!$C$5,A29-1)</f>
        <v>46997</v>
      </c>
      <c r="C29" s="49">
        <f t="shared" si="0"/>
        <v>3</v>
      </c>
      <c r="D29" s="51">
        <f>INDEX('Market Expansion'!$B$21:$B$56,A29)</f>
        <v>5000</v>
      </c>
      <c r="E29" s="52">
        <f>INDEX(Seasonality!$E$8:$E$19,MONTH(B29))</f>
        <v>1.7142857142857142</v>
      </c>
      <c r="F29" s="53">
        <f>Assumptions!$C$16*(1+Assumptions!$C$17)^((A29-1)/12)</f>
        <v>3.3062499999999995E-2</v>
      </c>
      <c r="G29" s="35">
        <f t="shared" si="1"/>
        <v>283.39285714285705</v>
      </c>
      <c r="H29" s="35">
        <f>G29*Assumptions!$C$18</f>
        <v>113.35714285714283</v>
      </c>
      <c r="I29" s="35">
        <f>H29*Assumptions!$C$19</f>
        <v>20.404285714285709</v>
      </c>
      <c r="J29" s="35">
        <f>M28*Assumptions!$C$24</f>
        <v>0.47723641126330596</v>
      </c>
      <c r="K29" s="35">
        <f>M17*Assumptions!$C$25</f>
        <v>1.1087444384206606</v>
      </c>
      <c r="L29" s="35">
        <f t="shared" si="2"/>
        <v>21.990266563969676</v>
      </c>
      <c r="M29" s="54">
        <f>L29+M28*(1-Assumptions!$C$23)</f>
        <v>41.716038229519654</v>
      </c>
      <c r="N29" s="55">
        <f>IF(A29&gt;=Assumptions!$C$11,Assumptions!$C$12,Assumptions!$C$10)</f>
        <v>29</v>
      </c>
      <c r="O29" s="56">
        <f t="shared" si="3"/>
        <v>1209.76510865607</v>
      </c>
      <c r="P29" s="57">
        <f>Assumptions!$C$29</f>
        <v>10</v>
      </c>
      <c r="Q29" s="58">
        <f>Assumptions!$C$30</f>
        <v>1.6E-2</v>
      </c>
      <c r="R29" s="59">
        <f t="shared" si="4"/>
        <v>6.6745661167231445</v>
      </c>
      <c r="S29" s="59">
        <f t="shared" si="5"/>
        <v>1203.0905425393469</v>
      </c>
      <c r="T29" s="60">
        <f t="shared" si="6"/>
        <v>0.99448275862068969</v>
      </c>
    </row>
    <row r="30" spans="1:20" x14ac:dyDescent="0.2">
      <c r="A30" s="49">
        <v>26</v>
      </c>
      <c r="B30" s="50">
        <f>EDATE(Assumptions!$C$5,A30-1)</f>
        <v>47027</v>
      </c>
      <c r="C30" s="49">
        <f t="shared" si="0"/>
        <v>3</v>
      </c>
      <c r="D30" s="51">
        <f>INDEX('Market Expansion'!$B$21:$B$56,A30)</f>
        <v>5000</v>
      </c>
      <c r="E30" s="52">
        <f>INDEX(Seasonality!$E$8:$E$19,MONTH(B30))</f>
        <v>1.5238095238095237</v>
      </c>
      <c r="F30" s="53">
        <f>Assumptions!$C$16*(1+Assumptions!$C$17)^((A30-1)/12)</f>
        <v>3.3449824440662648E-2</v>
      </c>
      <c r="G30" s="35">
        <f t="shared" si="1"/>
        <v>254.85580526219161</v>
      </c>
      <c r="H30" s="35">
        <f>G30*Assumptions!$C$18</f>
        <v>101.94232210487665</v>
      </c>
      <c r="I30" s="35">
        <f>H30*Assumptions!$C$19</f>
        <v>18.349617978877795</v>
      </c>
      <c r="J30" s="35">
        <f>M29*Assumptions!$C$24</f>
        <v>0.62574057344279477</v>
      </c>
      <c r="K30" s="35">
        <f>M18*Assumptions!$C$25</f>
        <v>1.6648328722097778</v>
      </c>
      <c r="L30" s="35">
        <f t="shared" si="2"/>
        <v>20.640191424530368</v>
      </c>
      <c r="M30" s="54">
        <f>L30+M29*(1-Assumptions!$C$23)</f>
        <v>46.504135126832551</v>
      </c>
      <c r="N30" s="55">
        <f>IF(A30&gt;=Assumptions!$C$11,Assumptions!$C$12,Assumptions!$C$10)</f>
        <v>29</v>
      </c>
      <c r="O30" s="56">
        <f t="shared" si="3"/>
        <v>1348.6199186781439</v>
      </c>
      <c r="P30" s="57">
        <f>Assumptions!$C$29</f>
        <v>10</v>
      </c>
      <c r="Q30" s="58">
        <f>Assumptions!$C$30</f>
        <v>1.6E-2</v>
      </c>
      <c r="R30" s="59">
        <f t="shared" si="4"/>
        <v>7.4406616202932083</v>
      </c>
      <c r="S30" s="59">
        <f t="shared" si="5"/>
        <v>1341.1792570578507</v>
      </c>
      <c r="T30" s="60">
        <f t="shared" si="6"/>
        <v>0.99448275862068969</v>
      </c>
    </row>
    <row r="31" spans="1:20" x14ac:dyDescent="0.2">
      <c r="A31" s="49">
        <v>27</v>
      </c>
      <c r="B31" s="50">
        <f>EDATE(Assumptions!$C$5,A31-1)</f>
        <v>47058</v>
      </c>
      <c r="C31" s="49">
        <f t="shared" si="0"/>
        <v>3</v>
      </c>
      <c r="D31" s="51">
        <f>INDEX('Market Expansion'!$B$21:$B$56,A31)</f>
        <v>5000</v>
      </c>
      <c r="E31" s="52">
        <f>INDEX(Seasonality!$E$8:$E$19,MONTH(B31))</f>
        <v>0.95238095238095233</v>
      </c>
      <c r="F31" s="53">
        <f>Assumptions!$C$16*(1+Assumptions!$C$17)^((A31-1)/12)</f>
        <v>3.3841686354968682E-2</v>
      </c>
      <c r="G31" s="35">
        <f t="shared" si="1"/>
        <v>161.15088740461275</v>
      </c>
      <c r="H31" s="35">
        <f>G31*Assumptions!$C$18</f>
        <v>64.460354961845098</v>
      </c>
      <c r="I31" s="35">
        <f>H31*Assumptions!$C$19</f>
        <v>11.602863893132117</v>
      </c>
      <c r="J31" s="35">
        <f>M30*Assumptions!$C$24</f>
        <v>0.69756202690248825</v>
      </c>
      <c r="K31" s="35">
        <f>M19*Assumptions!$C$25</f>
        <v>1.6659636358208039</v>
      </c>
      <c r="L31" s="35">
        <f t="shared" si="2"/>
        <v>13.966389555855409</v>
      </c>
      <c r="M31" s="54">
        <f>L31+M30*(1-Assumptions!$C$23)</f>
        <v>42.798953334491593</v>
      </c>
      <c r="N31" s="55">
        <f>IF(A31&gt;=Assumptions!$C$11,Assumptions!$C$12,Assumptions!$C$10)</f>
        <v>29</v>
      </c>
      <c r="O31" s="56">
        <f t="shared" si="3"/>
        <v>1241.1696467002562</v>
      </c>
      <c r="P31" s="57">
        <f>Assumptions!$C$29</f>
        <v>10</v>
      </c>
      <c r="Q31" s="58">
        <f>Assumptions!$C$30</f>
        <v>1.6E-2</v>
      </c>
      <c r="R31" s="59">
        <f t="shared" si="4"/>
        <v>6.8478325335186545</v>
      </c>
      <c r="S31" s="59">
        <f t="shared" si="5"/>
        <v>1234.3218141667376</v>
      </c>
      <c r="T31" s="60">
        <f t="shared" si="6"/>
        <v>0.99448275862068969</v>
      </c>
    </row>
    <row r="32" spans="1:20" x14ac:dyDescent="0.2">
      <c r="A32" s="49">
        <v>28</v>
      </c>
      <c r="B32" s="50">
        <f>EDATE(Assumptions!$C$5,A32-1)</f>
        <v>47088</v>
      </c>
      <c r="C32" s="49">
        <f t="shared" si="0"/>
        <v>3</v>
      </c>
      <c r="D32" s="51">
        <f>INDEX('Market Expansion'!$B$21:$B$56,A32)</f>
        <v>5000</v>
      </c>
      <c r="E32" s="52">
        <f>INDEX(Seasonality!$E$8:$E$19,MONTH(B32))</f>
        <v>0.5714285714285714</v>
      </c>
      <c r="F32" s="53">
        <f>Assumptions!$C$16*(1+Assumptions!$C$17)^((A32-1)/12)</f>
        <v>3.4238138899044875E-2</v>
      </c>
      <c r="G32" s="35">
        <f t="shared" si="1"/>
        <v>97.823253997271053</v>
      </c>
      <c r="H32" s="35">
        <f>G32*Assumptions!$C$18</f>
        <v>39.129301598908427</v>
      </c>
      <c r="I32" s="35">
        <f>H32*Assumptions!$C$19</f>
        <v>7.0432742878035164</v>
      </c>
      <c r="J32" s="35">
        <f>M31*Assumptions!$C$24</f>
        <v>0.64198430001737383</v>
      </c>
      <c r="K32" s="35">
        <f>M20*Assumptions!$C$25</f>
        <v>1.4283057420499266</v>
      </c>
      <c r="L32" s="35">
        <f t="shared" si="2"/>
        <v>9.1135643298708171</v>
      </c>
      <c r="M32" s="54">
        <f>L32+M31*(1-Assumptions!$C$23)</f>
        <v>35.648915397255607</v>
      </c>
      <c r="N32" s="55">
        <f>IF(A32&gt;=Assumptions!$C$11,Assumptions!$C$12,Assumptions!$C$10)</f>
        <v>29</v>
      </c>
      <c r="O32" s="56">
        <f t="shared" si="3"/>
        <v>1033.8185465204126</v>
      </c>
      <c r="P32" s="57">
        <f>Assumptions!$C$29</f>
        <v>10</v>
      </c>
      <c r="Q32" s="58">
        <f>Assumptions!$C$30</f>
        <v>1.6E-2</v>
      </c>
      <c r="R32" s="59">
        <f t="shared" si="4"/>
        <v>5.7038264635608975</v>
      </c>
      <c r="S32" s="59">
        <f t="shared" si="5"/>
        <v>1028.1147200568516</v>
      </c>
      <c r="T32" s="60">
        <f t="shared" si="6"/>
        <v>0.99448275862068958</v>
      </c>
    </row>
    <row r="33" spans="1:20" x14ac:dyDescent="0.2">
      <c r="A33" s="49">
        <v>29</v>
      </c>
      <c r="B33" s="50">
        <f>EDATE(Assumptions!$C$5,A33-1)</f>
        <v>47119</v>
      </c>
      <c r="C33" s="49">
        <f t="shared" si="0"/>
        <v>3</v>
      </c>
      <c r="D33" s="51">
        <f>INDEX('Market Expansion'!$B$21:$B$56,A33)</f>
        <v>5000</v>
      </c>
      <c r="E33" s="52">
        <f>INDEX(Seasonality!$E$8:$E$19,MONTH(B33))</f>
        <v>0.8571428571428571</v>
      </c>
      <c r="F33" s="53">
        <f>Assumptions!$C$16*(1+Assumptions!$C$17)^((A33-1)/12)</f>
        <v>3.4639235851737581E-2</v>
      </c>
      <c r="G33" s="35">
        <f t="shared" si="1"/>
        <v>148.45386793601818</v>
      </c>
      <c r="H33" s="35">
        <f>G33*Assumptions!$C$18</f>
        <v>59.381547174407274</v>
      </c>
      <c r="I33" s="35">
        <f>H33*Assumptions!$C$19</f>
        <v>10.688678491393309</v>
      </c>
      <c r="J33" s="35">
        <f>M32*Assumptions!$C$24</f>
        <v>0.53473373095883403</v>
      </c>
      <c r="K33" s="35">
        <f>M21*Assumptions!$C$25</f>
        <v>1.4676773814847524</v>
      </c>
      <c r="L33" s="35">
        <f t="shared" si="2"/>
        <v>12.691089603836897</v>
      </c>
      <c r="M33" s="54">
        <f>L33+M32*(1-Assumptions!$C$23)</f>
        <v>34.793417150135369</v>
      </c>
      <c r="N33" s="55">
        <f>IF(A33&gt;=Assumptions!$C$11,Assumptions!$C$12,Assumptions!$C$10)</f>
        <v>29</v>
      </c>
      <c r="O33" s="56">
        <f t="shared" si="3"/>
        <v>1009.0090973539257</v>
      </c>
      <c r="P33" s="57">
        <f>Assumptions!$C$29</f>
        <v>10</v>
      </c>
      <c r="Q33" s="58">
        <f>Assumptions!$C$30</f>
        <v>1.6E-2</v>
      </c>
      <c r="R33" s="59">
        <f t="shared" si="4"/>
        <v>5.56694674402166</v>
      </c>
      <c r="S33" s="59">
        <f t="shared" si="5"/>
        <v>1003.442150609904</v>
      </c>
      <c r="T33" s="60">
        <f t="shared" si="6"/>
        <v>0.99448275862068969</v>
      </c>
    </row>
    <row r="34" spans="1:20" x14ac:dyDescent="0.2">
      <c r="A34" s="49">
        <v>30</v>
      </c>
      <c r="B34" s="50">
        <f>EDATE(Assumptions!$C$5,A34-1)</f>
        <v>47150</v>
      </c>
      <c r="C34" s="49">
        <f t="shared" si="0"/>
        <v>3</v>
      </c>
      <c r="D34" s="51">
        <f>INDEX('Market Expansion'!$B$21:$B$56,A34)</f>
        <v>5000</v>
      </c>
      <c r="E34" s="52">
        <f>INDEX(Seasonality!$E$8:$E$19,MONTH(B34))</f>
        <v>1.0476190476190477</v>
      </c>
      <c r="F34" s="53">
        <f>Assumptions!$C$16*(1+Assumptions!$C$17)^((A34-1)/12)</f>
        <v>3.5045031621907891E-2</v>
      </c>
      <c r="G34" s="35">
        <f t="shared" si="1"/>
        <v>183.56921325761277</v>
      </c>
      <c r="H34" s="35">
        <f>G34*Assumptions!$C$18</f>
        <v>73.427685303045109</v>
      </c>
      <c r="I34" s="35">
        <f>H34*Assumptions!$C$19</f>
        <v>13.21698335454812</v>
      </c>
      <c r="J34" s="35">
        <f>M33*Assumptions!$C$24</f>
        <v>0.52190125725203051</v>
      </c>
      <c r="K34" s="35">
        <f>M22*Assumptions!$C$25</f>
        <v>1.624921993323529</v>
      </c>
      <c r="L34" s="35">
        <f t="shared" si="2"/>
        <v>15.363806605123679</v>
      </c>
      <c r="M34" s="54">
        <f>L34+M33*(1-Assumptions!$C$23)</f>
        <v>36.93572523820761</v>
      </c>
      <c r="N34" s="55">
        <f>IF(A34&gt;=Assumptions!$C$11,Assumptions!$C$12,Assumptions!$C$10)</f>
        <v>29</v>
      </c>
      <c r="O34" s="56">
        <f t="shared" si="3"/>
        <v>1071.1360319080206</v>
      </c>
      <c r="P34" s="57">
        <f>Assumptions!$C$29</f>
        <v>10</v>
      </c>
      <c r="Q34" s="58">
        <f>Assumptions!$C$30</f>
        <v>1.6E-2</v>
      </c>
      <c r="R34" s="59">
        <f t="shared" si="4"/>
        <v>5.9097160381132179</v>
      </c>
      <c r="S34" s="59">
        <f t="shared" si="5"/>
        <v>1065.2263158699075</v>
      </c>
      <c r="T34" s="60">
        <f t="shared" si="6"/>
        <v>0.99448275862068969</v>
      </c>
    </row>
    <row r="35" spans="1:20" x14ac:dyDescent="0.2">
      <c r="A35" s="49">
        <v>31</v>
      </c>
      <c r="B35" s="50">
        <f>EDATE(Assumptions!$C$5,A35-1)</f>
        <v>47178</v>
      </c>
      <c r="C35" s="49">
        <f t="shared" si="0"/>
        <v>3</v>
      </c>
      <c r="D35" s="51">
        <f>INDEX('Market Expansion'!$B$21:$B$56,A35)</f>
        <v>25000</v>
      </c>
      <c r="E35" s="52">
        <f>INDEX(Seasonality!$E$8:$E$19,MONTH(B35))</f>
        <v>1.1428571428571428</v>
      </c>
      <c r="F35" s="53">
        <f>Assumptions!$C$16*(1+Assumptions!$C$17)^((A35-1)/12)</f>
        <v>3.5455581255812177E-2</v>
      </c>
      <c r="G35" s="35">
        <f t="shared" si="1"/>
        <v>1013.0166073089192</v>
      </c>
      <c r="H35" s="35">
        <f>G35*Assumptions!$C$18</f>
        <v>405.2066429235677</v>
      </c>
      <c r="I35" s="35">
        <f>H35*Assumptions!$C$19</f>
        <v>72.93719572624218</v>
      </c>
      <c r="J35" s="35">
        <f>M34*Assumptions!$C$24</f>
        <v>0.55403587857311409</v>
      </c>
      <c r="K35" s="35">
        <f>M23*Assumptions!$C$25</f>
        <v>1.7966344445736071</v>
      </c>
      <c r="L35" s="35">
        <f t="shared" si="2"/>
        <v>75.28786604938891</v>
      </c>
      <c r="M35" s="54">
        <f>L35+M34*(1-Assumptions!$C$23)</f>
        <v>98.188015697077631</v>
      </c>
      <c r="N35" s="55">
        <f>IF(A35&gt;=Assumptions!$C$11,Assumptions!$C$12,Assumptions!$C$10)</f>
        <v>29</v>
      </c>
      <c r="O35" s="56">
        <f t="shared" si="3"/>
        <v>2847.4524552152511</v>
      </c>
      <c r="P35" s="57">
        <f>Assumptions!$C$29</f>
        <v>10</v>
      </c>
      <c r="Q35" s="58">
        <f>Assumptions!$C$30</f>
        <v>1.6E-2</v>
      </c>
      <c r="R35" s="59">
        <f t="shared" si="4"/>
        <v>15.710082511532422</v>
      </c>
      <c r="S35" s="59">
        <f t="shared" si="5"/>
        <v>2831.7423727037185</v>
      </c>
      <c r="T35" s="60">
        <f t="shared" si="6"/>
        <v>0.99448275862068958</v>
      </c>
    </row>
    <row r="36" spans="1:20" x14ac:dyDescent="0.2">
      <c r="A36" s="49">
        <v>32</v>
      </c>
      <c r="B36" s="50">
        <f>EDATE(Assumptions!$C$5,A36-1)</f>
        <v>47209</v>
      </c>
      <c r="C36" s="49">
        <f t="shared" si="0"/>
        <v>3</v>
      </c>
      <c r="D36" s="51">
        <f>INDEX('Market Expansion'!$B$21:$B$56,A36)</f>
        <v>25000</v>
      </c>
      <c r="E36" s="52">
        <f>INDEX(Seasonality!$E$8:$E$19,MONTH(B36))</f>
        <v>0.76190476190476186</v>
      </c>
      <c r="F36" s="53">
        <f>Assumptions!$C$16*(1+Assumptions!$C$17)^((A36-1)/12)</f>
        <v>3.5870940444569122E-2</v>
      </c>
      <c r="G36" s="35">
        <f t="shared" si="1"/>
        <v>683.25600846798329</v>
      </c>
      <c r="H36" s="35">
        <f>G36*Assumptions!$C$18</f>
        <v>273.30240338719335</v>
      </c>
      <c r="I36" s="35">
        <f>H36*Assumptions!$C$19</f>
        <v>49.1944326096948</v>
      </c>
      <c r="J36" s="35">
        <f>M35*Assumptions!$C$24</f>
        <v>1.4728202354561644</v>
      </c>
      <c r="K36" s="35">
        <f>M24*Assumptions!$C$25</f>
        <v>1.6576328865340697</v>
      </c>
      <c r="L36" s="35">
        <f t="shared" si="2"/>
        <v>52.324885731685029</v>
      </c>
      <c r="M36" s="54">
        <f>L36+M35*(1-Assumptions!$C$23)</f>
        <v>113.20145546387316</v>
      </c>
      <c r="N36" s="55">
        <f>IF(A36&gt;=Assumptions!$C$11,Assumptions!$C$12,Assumptions!$C$10)</f>
        <v>29</v>
      </c>
      <c r="O36" s="56">
        <f t="shared" si="3"/>
        <v>3282.8422084523218</v>
      </c>
      <c r="P36" s="57">
        <f>Assumptions!$C$29</f>
        <v>10</v>
      </c>
      <c r="Q36" s="58">
        <f>Assumptions!$C$30</f>
        <v>1.6E-2</v>
      </c>
      <c r="R36" s="59">
        <f t="shared" si="4"/>
        <v>18.112232874219707</v>
      </c>
      <c r="S36" s="59">
        <f t="shared" si="5"/>
        <v>3264.7299755781019</v>
      </c>
      <c r="T36" s="60">
        <f t="shared" si="6"/>
        <v>0.99448275862068958</v>
      </c>
    </row>
    <row r="37" spans="1:20" x14ac:dyDescent="0.2">
      <c r="A37" s="49">
        <v>33</v>
      </c>
      <c r="B37" s="50">
        <f>EDATE(Assumptions!$C$5,A37-1)</f>
        <v>47239</v>
      </c>
      <c r="C37" s="49">
        <f t="shared" si="0"/>
        <v>3</v>
      </c>
      <c r="D37" s="51">
        <f>INDEX('Market Expansion'!$B$21:$B$56,A37)</f>
        <v>25000</v>
      </c>
      <c r="E37" s="52">
        <f>INDEX(Seasonality!$E$8:$E$19,MONTH(B37))</f>
        <v>0.47619047619047616</v>
      </c>
      <c r="F37" s="53">
        <f>Assumptions!$C$16*(1+Assumptions!$C$17)^((A37-1)/12)</f>
        <v>3.6291165531714256E-2</v>
      </c>
      <c r="G37" s="35">
        <f t="shared" si="1"/>
        <v>432.03768490136014</v>
      </c>
      <c r="H37" s="35">
        <f>G37*Assumptions!$C$18</f>
        <v>172.81507396054405</v>
      </c>
      <c r="I37" s="35">
        <f>H37*Assumptions!$C$19</f>
        <v>31.106713312897927</v>
      </c>
      <c r="J37" s="35">
        <f>M36*Assumptions!$C$24</f>
        <v>1.6980218319580973</v>
      </c>
      <c r="K37" s="35">
        <f>M25*Assumptions!$C$25</f>
        <v>1.3800484537829187</v>
      </c>
      <c r="L37" s="35">
        <f t="shared" si="2"/>
        <v>34.184783598638944</v>
      </c>
      <c r="M37" s="54">
        <f>L37+M36*(1-Assumptions!$C$23)</f>
        <v>104.3696859862403</v>
      </c>
      <c r="N37" s="55">
        <f>IF(A37&gt;=Assumptions!$C$11,Assumptions!$C$12,Assumptions!$C$10)</f>
        <v>29</v>
      </c>
      <c r="O37" s="56">
        <f t="shared" si="3"/>
        <v>3026.7208936009688</v>
      </c>
      <c r="P37" s="57">
        <f>Assumptions!$C$29</f>
        <v>10</v>
      </c>
      <c r="Q37" s="58">
        <f>Assumptions!$C$30</f>
        <v>1.6E-2</v>
      </c>
      <c r="R37" s="59">
        <f t="shared" si="4"/>
        <v>16.699149757798448</v>
      </c>
      <c r="S37" s="59">
        <f t="shared" si="5"/>
        <v>3010.0217438431705</v>
      </c>
      <c r="T37" s="60">
        <f t="shared" si="6"/>
        <v>0.99448275862068969</v>
      </c>
    </row>
    <row r="38" spans="1:20" x14ac:dyDescent="0.2">
      <c r="A38" s="49">
        <v>34</v>
      </c>
      <c r="B38" s="50">
        <f>EDATE(Assumptions!$C$5,A38-1)</f>
        <v>47270</v>
      </c>
      <c r="C38" s="49">
        <f t="shared" si="0"/>
        <v>3</v>
      </c>
      <c r="D38" s="51">
        <f>INDEX('Market Expansion'!$B$21:$B$56,A38)</f>
        <v>25000</v>
      </c>
      <c r="E38" s="52">
        <f>INDEX(Seasonality!$E$8:$E$19,MONTH(B38))</f>
        <v>0.66666666666666663</v>
      </c>
      <c r="F38" s="53">
        <f>Assumptions!$C$16*(1+Assumptions!$C$17)^((A38-1)/12)</f>
        <v>3.6716313520842925E-2</v>
      </c>
      <c r="G38" s="35">
        <f t="shared" si="1"/>
        <v>611.93855868071535</v>
      </c>
      <c r="H38" s="35">
        <f>G38*Assumptions!$C$18</f>
        <v>244.77542347228615</v>
      </c>
      <c r="I38" s="35">
        <f>H38*Assumptions!$C$19</f>
        <v>44.059576225011504</v>
      </c>
      <c r="J38" s="35">
        <f>M37*Assumptions!$C$24</f>
        <v>1.5655452897936044</v>
      </c>
      <c r="K38" s="35">
        <f>M26*Assumptions!$C$25</f>
        <v>1.3388583106709371</v>
      </c>
      <c r="L38" s="35">
        <f t="shared" si="2"/>
        <v>46.963979825476045</v>
      </c>
      <c r="M38" s="54">
        <f>L38+M37*(1-Assumptions!$C$23)</f>
        <v>111.67318513694504</v>
      </c>
      <c r="N38" s="55">
        <f>IF(A38&gt;=Assumptions!$C$11,Assumptions!$C$12,Assumptions!$C$10)</f>
        <v>29</v>
      </c>
      <c r="O38" s="56">
        <f t="shared" si="3"/>
        <v>3238.5223689714062</v>
      </c>
      <c r="P38" s="57">
        <f>Assumptions!$C$29</f>
        <v>10</v>
      </c>
      <c r="Q38" s="58">
        <f>Assumptions!$C$30</f>
        <v>1.6E-2</v>
      </c>
      <c r="R38" s="59">
        <f t="shared" si="4"/>
        <v>17.867709621911207</v>
      </c>
      <c r="S38" s="59">
        <f t="shared" si="5"/>
        <v>3220.654659349495</v>
      </c>
      <c r="T38" s="60">
        <f t="shared" si="6"/>
        <v>0.99448275862068969</v>
      </c>
    </row>
    <row r="39" spans="1:20" x14ac:dyDescent="0.2">
      <c r="A39" s="49">
        <v>35</v>
      </c>
      <c r="B39" s="50">
        <f>EDATE(Assumptions!$C$5,A39-1)</f>
        <v>47300</v>
      </c>
      <c r="C39" s="49">
        <f t="shared" si="0"/>
        <v>3</v>
      </c>
      <c r="D39" s="51">
        <f>INDEX('Market Expansion'!$B$21:$B$56,A39)</f>
        <v>25000</v>
      </c>
      <c r="E39" s="52">
        <f>INDEX(Seasonality!$E$8:$E$19,MONTH(B39))</f>
        <v>0.95238095238095233</v>
      </c>
      <c r="F39" s="53">
        <f>Assumptions!$C$16*(1+Assumptions!$C$17)^((A39-1)/12)</f>
        <v>3.714644208334289E-2</v>
      </c>
      <c r="G39" s="35">
        <f t="shared" si="1"/>
        <v>884.43909722244973</v>
      </c>
      <c r="H39" s="35">
        <f>G39*Assumptions!$C$18</f>
        <v>353.77563888897993</v>
      </c>
      <c r="I39" s="35">
        <f>H39*Assumptions!$C$19</f>
        <v>63.679615000016383</v>
      </c>
      <c r="J39" s="35">
        <f>M38*Assumptions!$C$24</f>
        <v>1.6750977770541755</v>
      </c>
      <c r="K39" s="35">
        <f>M27*Assumptions!$C$25</f>
        <v>1.5178071195750573</v>
      </c>
      <c r="L39" s="35">
        <f t="shared" si="2"/>
        <v>66.872519896645613</v>
      </c>
      <c r="M39" s="54">
        <f>L39+M38*(1-Assumptions!$C$23)</f>
        <v>136.10989468155154</v>
      </c>
      <c r="N39" s="55">
        <f>IF(A39&gt;=Assumptions!$C$11,Assumptions!$C$12,Assumptions!$C$10)</f>
        <v>29</v>
      </c>
      <c r="O39" s="56">
        <f t="shared" si="3"/>
        <v>3947.1869457649946</v>
      </c>
      <c r="P39" s="57">
        <f>Assumptions!$C$29</f>
        <v>10</v>
      </c>
      <c r="Q39" s="58">
        <f>Assumptions!$C$30</f>
        <v>1.6E-2</v>
      </c>
      <c r="R39" s="59">
        <f t="shared" si="4"/>
        <v>21.777583149048244</v>
      </c>
      <c r="S39" s="59">
        <f t="shared" si="5"/>
        <v>3925.4093626159465</v>
      </c>
      <c r="T39" s="60">
        <f t="shared" si="6"/>
        <v>0.99448275862068969</v>
      </c>
    </row>
    <row r="40" spans="1:20" x14ac:dyDescent="0.2">
      <c r="A40" s="49">
        <v>36</v>
      </c>
      <c r="B40" s="50">
        <f>EDATE(Assumptions!$C$5,A40-1)</f>
        <v>47331</v>
      </c>
      <c r="C40" s="49">
        <f t="shared" si="0"/>
        <v>3</v>
      </c>
      <c r="D40" s="51">
        <f>INDEX('Market Expansion'!$B$21:$B$56,A40)</f>
        <v>25000</v>
      </c>
      <c r="E40" s="52">
        <f>INDEX(Seasonality!$E$8:$E$19,MONTH(B40))</f>
        <v>1.3333333333333333</v>
      </c>
      <c r="F40" s="53">
        <f>Assumptions!$C$16*(1+Assumptions!$C$17)^((A40-1)/12)</f>
        <v>3.7581609566217394E-2</v>
      </c>
      <c r="G40" s="35">
        <f t="shared" si="1"/>
        <v>1252.7203188739131</v>
      </c>
      <c r="H40" s="35">
        <f>G40*Assumptions!$C$18</f>
        <v>501.08812754956529</v>
      </c>
      <c r="I40" s="35">
        <f>H40*Assumptions!$C$19</f>
        <v>90.195862958921751</v>
      </c>
      <c r="J40" s="35">
        <f>M39*Assumptions!$C$24</f>
        <v>2.041648420223273</v>
      </c>
      <c r="K40" s="35">
        <f>M28*Assumptions!$C$25</f>
        <v>1.9089456450532238</v>
      </c>
      <c r="L40" s="35">
        <f t="shared" si="2"/>
        <v>94.146457024198241</v>
      </c>
      <c r="M40" s="54">
        <f>L40+M39*(1-Assumptions!$C$23)</f>
        <v>178.5345917267602</v>
      </c>
      <c r="N40" s="55">
        <f>IF(A40&gt;=Assumptions!$C$11,Assumptions!$C$12,Assumptions!$C$10)</f>
        <v>29</v>
      </c>
      <c r="O40" s="56">
        <f t="shared" si="3"/>
        <v>5177.5031600760458</v>
      </c>
      <c r="P40" s="57">
        <f>Assumptions!$C$29</f>
        <v>10</v>
      </c>
      <c r="Q40" s="58">
        <f>Assumptions!$C$30</f>
        <v>1.6E-2</v>
      </c>
      <c r="R40" s="59">
        <f t="shared" si="4"/>
        <v>28.565534676281633</v>
      </c>
      <c r="S40" s="59">
        <f t="shared" si="5"/>
        <v>5148.9376253997643</v>
      </c>
      <c r="T40" s="60">
        <f t="shared" si="6"/>
        <v>0.99448275862068969</v>
      </c>
    </row>
  </sheetData>
  <mergeCells count="2">
    <mergeCell ref="A1:T1"/>
    <mergeCell ref="A2:T2"/>
  </mergeCells>
  <pageMargins left="0.4" right="0.4" top="0.5" bottom="0.5" header="0.511811023622047" footer="0.511811023622047"/>
  <pageSetup fitToHeight="0"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0"/>
  <sheetViews>
    <sheetView showGridLines="0" zoomScaleNormal="100" workbookViewId="0">
      <pane ySplit="5" topLeftCell="A33" activePane="bottomLeft" state="frozen"/>
      <selection pane="bottomLeft" activeCell="O41" sqref="O41"/>
    </sheetView>
  </sheetViews>
  <sheetFormatPr baseColWidth="10" defaultColWidth="8.6640625" defaultRowHeight="15" x14ac:dyDescent="0.2"/>
  <cols>
    <col min="1" max="1" width="8" customWidth="1"/>
    <col min="2" max="2" width="11" customWidth="1"/>
    <col min="3" max="3" width="6" customWidth="1"/>
    <col min="4" max="5" width="11" customWidth="1"/>
    <col min="6" max="6" width="12" customWidth="1"/>
    <col min="7" max="8" width="10" customWidth="1"/>
    <col min="9" max="9" width="11" customWidth="1"/>
    <col min="10" max="11" width="10" customWidth="1"/>
    <col min="12" max="12" width="12" customWidth="1"/>
    <col min="13" max="13" width="11" customWidth="1"/>
    <col min="14" max="14" width="10" customWidth="1"/>
    <col min="15" max="15" width="12" customWidth="1"/>
    <col min="16" max="17" width="9" customWidth="1"/>
    <col min="18" max="20" width="11" customWidth="1"/>
  </cols>
  <sheetData>
    <row r="1" spans="1:20" ht="25.5" customHeight="1" x14ac:dyDescent="0.2">
      <c r="A1" s="13" t="s">
        <v>199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ht="15.75" customHeight="1" x14ac:dyDescent="0.2">
      <c r="A2" s="12" t="s">
        <v>180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4" spans="1:20" ht="33.75" customHeight="1" x14ac:dyDescent="0.2">
      <c r="A4" s="27" t="s">
        <v>85</v>
      </c>
      <c r="B4" s="27" t="s">
        <v>86</v>
      </c>
      <c r="C4" s="27" t="s">
        <v>181</v>
      </c>
      <c r="D4" s="27" t="s">
        <v>182</v>
      </c>
      <c r="E4" s="27" t="s">
        <v>183</v>
      </c>
      <c r="F4" s="27" t="s">
        <v>184</v>
      </c>
      <c r="G4" s="27" t="s">
        <v>185</v>
      </c>
      <c r="H4" s="27" t="s">
        <v>186</v>
      </c>
      <c r="I4" s="27" t="s">
        <v>187</v>
      </c>
      <c r="J4" s="27" t="s">
        <v>188</v>
      </c>
      <c r="K4" s="27" t="s">
        <v>189</v>
      </c>
      <c r="L4" s="27" t="s">
        <v>190</v>
      </c>
      <c r="M4" s="27" t="s">
        <v>191</v>
      </c>
      <c r="N4" s="27" t="s">
        <v>192</v>
      </c>
      <c r="O4" s="27" t="s">
        <v>193</v>
      </c>
      <c r="P4" s="27" t="s">
        <v>194</v>
      </c>
      <c r="Q4" s="27" t="s">
        <v>195</v>
      </c>
      <c r="R4" s="27" t="s">
        <v>196</v>
      </c>
      <c r="S4" s="27" t="s">
        <v>197</v>
      </c>
      <c r="T4" s="27" t="s">
        <v>198</v>
      </c>
    </row>
    <row r="5" spans="1:20" x14ac:dyDescent="0.2">
      <c r="A5" s="49">
        <v>1</v>
      </c>
      <c r="B5" s="50">
        <f>EDATE(Assumptions!$C$5,A5-1)</f>
        <v>46266</v>
      </c>
      <c r="C5" s="49">
        <f t="shared" ref="C5:C40" si="0">ROUNDUP(A5/12,0)</f>
        <v>1</v>
      </c>
      <c r="D5" s="51">
        <f>INDEX('Market Expansion'!$C$21:$C$56,A5)</f>
        <v>200</v>
      </c>
      <c r="E5" s="52">
        <f>INDEX(Seasonality!$E$8:$E$19,MONTH(B5))</f>
        <v>1.7142857142857142</v>
      </c>
      <c r="F5" s="53">
        <f>Assumptions!$D$16*(1+Assumptions!$D$17)^((A5-1)/12)</f>
        <v>0.03</v>
      </c>
      <c r="G5" s="35">
        <f t="shared" ref="G5:G40" si="1">D5*F5*E5</f>
        <v>10.285714285714285</v>
      </c>
      <c r="H5" s="35">
        <f>G5*Assumptions!$D$18</f>
        <v>5.1428571428571423</v>
      </c>
      <c r="I5" s="35">
        <f>H5*Assumptions!$D$19</f>
        <v>1.0285714285714285</v>
      </c>
      <c r="J5" s="35">
        <v>0</v>
      </c>
      <c r="K5" s="35">
        <v>0</v>
      </c>
      <c r="L5" s="35">
        <f t="shared" ref="L5:L40" si="2">I5+J5+K5</f>
        <v>1.0285714285714285</v>
      </c>
      <c r="M5" s="54">
        <f>L5</f>
        <v>1.0285714285714285</v>
      </c>
      <c r="N5" s="55">
        <f>IF(A5&gt;=Assumptions!$D$11,Assumptions!$D$12,Assumptions!$D$10)</f>
        <v>29</v>
      </c>
      <c r="O5" s="56">
        <f t="shared" ref="O5:O40" si="3">M5*N5</f>
        <v>29.828571428571426</v>
      </c>
      <c r="P5" s="57">
        <f>Assumptions!$D$29</f>
        <v>10</v>
      </c>
      <c r="Q5" s="58">
        <f>Assumptions!$D$30</f>
        <v>1.6E-2</v>
      </c>
      <c r="R5" s="59">
        <f t="shared" ref="R5:R40" si="4">M5*P5*Q5</f>
        <v>0.16457142857142856</v>
      </c>
      <c r="S5" s="59">
        <f t="shared" ref="S5:S40" si="5">O5-R5</f>
        <v>29.663999999999998</v>
      </c>
      <c r="T5" s="60">
        <f t="shared" ref="T5:T40" si="6">IF(O5=0,0,S5/O5)</f>
        <v>0.99448275862068969</v>
      </c>
    </row>
    <row r="6" spans="1:20" x14ac:dyDescent="0.2">
      <c r="A6" s="49">
        <v>2</v>
      </c>
      <c r="B6" s="50">
        <f>EDATE(Assumptions!$C$5,A6-1)</f>
        <v>46296</v>
      </c>
      <c r="C6" s="49">
        <f t="shared" si="0"/>
        <v>1</v>
      </c>
      <c r="D6" s="51">
        <f>INDEX('Market Expansion'!$C$21:$C$56,A6)</f>
        <v>200</v>
      </c>
      <c r="E6" s="52">
        <f>INDEX(Seasonality!$E$8:$E$19,MONTH(B6))</f>
        <v>1.5238095238095237</v>
      </c>
      <c r="F6" s="53">
        <f>Assumptions!$D$16*(1+Assumptions!$D$17)^((A6-1)/12)</f>
        <v>3.0459284114991936E-2</v>
      </c>
      <c r="G6" s="35">
        <f t="shared" si="1"/>
        <v>9.2828294445689714</v>
      </c>
      <c r="H6" s="35">
        <f>G6*Assumptions!$D$18</f>
        <v>4.6414147222844857</v>
      </c>
      <c r="I6" s="35">
        <f>H6*Assumptions!$D$19</f>
        <v>0.92828294445689719</v>
      </c>
      <c r="J6" s="35">
        <f>M5*Assumptions!$D$24</f>
        <v>2.057142857142857E-2</v>
      </c>
      <c r="K6" s="35">
        <v>0</v>
      </c>
      <c r="L6" s="35">
        <f t="shared" si="2"/>
        <v>0.94885437302832576</v>
      </c>
      <c r="M6" s="54">
        <f>L6+M5*(1-Assumptions!$D$23)</f>
        <v>1.6379972301711829</v>
      </c>
      <c r="N6" s="55">
        <f>IF(A6&gt;=Assumptions!$D$11,Assumptions!$D$12,Assumptions!$D$10)</f>
        <v>29</v>
      </c>
      <c r="O6" s="56">
        <f t="shared" si="3"/>
        <v>47.501919674964306</v>
      </c>
      <c r="P6" s="57">
        <f>Assumptions!$D$29</f>
        <v>10</v>
      </c>
      <c r="Q6" s="58">
        <f>Assumptions!$D$30</f>
        <v>1.6E-2</v>
      </c>
      <c r="R6" s="59">
        <f t="shared" si="4"/>
        <v>0.26207955682738932</v>
      </c>
      <c r="S6" s="59">
        <f t="shared" si="5"/>
        <v>47.239840118136918</v>
      </c>
      <c r="T6" s="60">
        <f t="shared" si="6"/>
        <v>0.99448275862068969</v>
      </c>
    </row>
    <row r="7" spans="1:20" x14ac:dyDescent="0.2">
      <c r="A7" s="49">
        <v>3</v>
      </c>
      <c r="B7" s="50">
        <f>EDATE(Assumptions!$C$5,A7-1)</f>
        <v>46327</v>
      </c>
      <c r="C7" s="49">
        <f t="shared" si="0"/>
        <v>1</v>
      </c>
      <c r="D7" s="51">
        <f>INDEX('Market Expansion'!$C$21:$C$56,A7)</f>
        <v>200</v>
      </c>
      <c r="E7" s="52">
        <f>INDEX(Seasonality!$E$8:$E$19,MONTH(B7))</f>
        <v>0.95238095238095233</v>
      </c>
      <c r="F7" s="53">
        <f>Assumptions!$D$16*(1+Assumptions!$D$17)^((A7-1)/12)</f>
        <v>3.0925599626593334E-2</v>
      </c>
      <c r="G7" s="35">
        <f t="shared" si="1"/>
        <v>5.8905904050653968</v>
      </c>
      <c r="H7" s="35">
        <f>G7*Assumptions!$D$18</f>
        <v>2.9452952025326984</v>
      </c>
      <c r="I7" s="35">
        <f>H7*Assumptions!$D$19</f>
        <v>0.58905904050653968</v>
      </c>
      <c r="J7" s="35">
        <f>M6*Assumptions!$D$24</f>
        <v>3.2759944603423657E-2</v>
      </c>
      <c r="K7" s="35">
        <v>0</v>
      </c>
      <c r="L7" s="35">
        <f t="shared" si="2"/>
        <v>0.62181898510996336</v>
      </c>
      <c r="M7" s="54">
        <f>L7+M6*(1-Assumptions!$D$23)</f>
        <v>1.7192771293246558</v>
      </c>
      <c r="N7" s="55">
        <f>IF(A7&gt;=Assumptions!$D$11,Assumptions!$D$12,Assumptions!$D$10)</f>
        <v>29</v>
      </c>
      <c r="O7" s="56">
        <f t="shared" si="3"/>
        <v>49.859036750415015</v>
      </c>
      <c r="P7" s="57">
        <f>Assumptions!$D$29</f>
        <v>10</v>
      </c>
      <c r="Q7" s="58">
        <f>Assumptions!$D$30</f>
        <v>1.6E-2</v>
      </c>
      <c r="R7" s="59">
        <f t="shared" si="4"/>
        <v>0.27508434069194493</v>
      </c>
      <c r="S7" s="59">
        <f t="shared" si="5"/>
        <v>49.583952409723068</v>
      </c>
      <c r="T7" s="60">
        <f t="shared" si="6"/>
        <v>0.99448275862068958</v>
      </c>
    </row>
    <row r="8" spans="1:20" x14ac:dyDescent="0.2">
      <c r="A8" s="49">
        <v>4</v>
      </c>
      <c r="B8" s="50">
        <f>EDATE(Assumptions!$C$5,A8-1)</f>
        <v>46357</v>
      </c>
      <c r="C8" s="49">
        <f t="shared" si="0"/>
        <v>1</v>
      </c>
      <c r="D8" s="51">
        <f>INDEX('Market Expansion'!$C$21:$C$56,A8)</f>
        <v>200</v>
      </c>
      <c r="E8" s="52">
        <f>INDEX(Seasonality!$E$8:$E$19,MONTH(B8))</f>
        <v>0.5714285714285714</v>
      </c>
      <c r="F8" s="53">
        <f>Assumptions!$D$16*(1+Assumptions!$D$17)^((A8-1)/12)</f>
        <v>3.139905418176317E-2</v>
      </c>
      <c r="G8" s="35">
        <f t="shared" si="1"/>
        <v>3.5884633350586475</v>
      </c>
      <c r="H8" s="35">
        <f>G8*Assumptions!$D$18</f>
        <v>1.7942316675293237</v>
      </c>
      <c r="I8" s="35">
        <f>H8*Assumptions!$D$19</f>
        <v>0.35884633350586476</v>
      </c>
      <c r="J8" s="35">
        <f>M7*Assumptions!$D$24</f>
        <v>3.4385542586493116E-2</v>
      </c>
      <c r="K8" s="35">
        <v>0</v>
      </c>
      <c r="L8" s="35">
        <f t="shared" si="2"/>
        <v>0.39323187609235788</v>
      </c>
      <c r="M8" s="54">
        <f>L8+M7*(1-Assumptions!$D$23)</f>
        <v>1.5451475527398773</v>
      </c>
      <c r="N8" s="55">
        <f>IF(A8&gt;=Assumptions!$D$11,Assumptions!$D$12,Assumptions!$D$10)</f>
        <v>29</v>
      </c>
      <c r="O8" s="56">
        <f t="shared" si="3"/>
        <v>44.809279029456441</v>
      </c>
      <c r="P8" s="57">
        <f>Assumptions!$D$29</f>
        <v>10</v>
      </c>
      <c r="Q8" s="58">
        <f>Assumptions!$D$30</f>
        <v>1.6E-2</v>
      </c>
      <c r="R8" s="59">
        <f t="shared" si="4"/>
        <v>0.24722360843838037</v>
      </c>
      <c r="S8" s="59">
        <f t="shared" si="5"/>
        <v>44.562055421018059</v>
      </c>
      <c r="T8" s="60">
        <f t="shared" si="6"/>
        <v>0.99448275862068958</v>
      </c>
    </row>
    <row r="9" spans="1:20" x14ac:dyDescent="0.2">
      <c r="A9" s="49">
        <v>5</v>
      </c>
      <c r="B9" s="50">
        <f>EDATE(Assumptions!$C$5,A9-1)</f>
        <v>46388</v>
      </c>
      <c r="C9" s="49">
        <f t="shared" si="0"/>
        <v>1</v>
      </c>
      <c r="D9" s="51">
        <f>INDEX('Market Expansion'!$C$21:$C$56,A9)</f>
        <v>200</v>
      </c>
      <c r="E9" s="52">
        <f>INDEX(Seasonality!$E$8:$E$19,MONTH(B9))</f>
        <v>0.8571428571428571</v>
      </c>
      <c r="F9" s="53">
        <f>Assumptions!$D$16*(1+Assumptions!$D$17)^((A9-1)/12)</f>
        <v>3.1879757075478334E-2</v>
      </c>
      <c r="G9" s="35">
        <f t="shared" si="1"/>
        <v>5.4651012129391425</v>
      </c>
      <c r="H9" s="35">
        <f>G9*Assumptions!$D$18</f>
        <v>2.7325506064695713</v>
      </c>
      <c r="I9" s="35">
        <f>H9*Assumptions!$D$19</f>
        <v>0.5465101212939143</v>
      </c>
      <c r="J9" s="35">
        <f>M8*Assumptions!$D$24</f>
        <v>3.0902951054797546E-2</v>
      </c>
      <c r="K9" s="35">
        <v>0</v>
      </c>
      <c r="L9" s="35">
        <f t="shared" si="2"/>
        <v>0.57741307234871186</v>
      </c>
      <c r="M9" s="54">
        <f>L9+M8*(1-Assumptions!$D$23)</f>
        <v>1.6126619326844296</v>
      </c>
      <c r="N9" s="55">
        <f>IF(A9&gt;=Assumptions!$D$11,Assumptions!$D$12,Assumptions!$D$10)</f>
        <v>29</v>
      </c>
      <c r="O9" s="56">
        <f t="shared" si="3"/>
        <v>46.767196047848458</v>
      </c>
      <c r="P9" s="57">
        <f>Assumptions!$D$29</f>
        <v>10</v>
      </c>
      <c r="Q9" s="58">
        <f>Assumptions!$D$30</f>
        <v>1.6E-2</v>
      </c>
      <c r="R9" s="59">
        <f t="shared" si="4"/>
        <v>0.25802590922950874</v>
      </c>
      <c r="S9" s="59">
        <f t="shared" si="5"/>
        <v>46.509170138618948</v>
      </c>
      <c r="T9" s="60">
        <f t="shared" si="6"/>
        <v>0.99448275862068969</v>
      </c>
    </row>
    <row r="10" spans="1:20" x14ac:dyDescent="0.2">
      <c r="A10" s="49">
        <v>6</v>
      </c>
      <c r="B10" s="50">
        <f>EDATE(Assumptions!$C$5,A10-1)</f>
        <v>46419</v>
      </c>
      <c r="C10" s="49">
        <f t="shared" si="0"/>
        <v>1</v>
      </c>
      <c r="D10" s="51">
        <f>INDEX('Market Expansion'!$C$21:$C$56,A10)</f>
        <v>200</v>
      </c>
      <c r="E10" s="52">
        <f>INDEX(Seasonality!$E$8:$E$19,MONTH(B10))</f>
        <v>1.0476190476190477</v>
      </c>
      <c r="F10" s="53">
        <f>Assumptions!$D$16*(1+Assumptions!$D$17)^((A10-1)/12)</f>
        <v>3.2367819275963959E-2</v>
      </c>
      <c r="G10" s="35">
        <f t="shared" si="1"/>
        <v>6.7818288006781628</v>
      </c>
      <c r="H10" s="35">
        <f>G10*Assumptions!$D$18</f>
        <v>3.3909144003390814</v>
      </c>
      <c r="I10" s="35">
        <f>H10*Assumptions!$D$19</f>
        <v>0.67818288006781635</v>
      </c>
      <c r="J10" s="35">
        <f>M9*Assumptions!$D$24</f>
        <v>3.2253238653688593E-2</v>
      </c>
      <c r="K10" s="35">
        <v>0</v>
      </c>
      <c r="L10" s="35">
        <f t="shared" si="2"/>
        <v>0.71043611872150492</v>
      </c>
      <c r="M10" s="54">
        <f>L10+M9*(1-Assumptions!$D$23)</f>
        <v>1.7909196136200727</v>
      </c>
      <c r="N10" s="55">
        <f>IF(A10&gt;=Assumptions!$D$11,Assumptions!$D$12,Assumptions!$D$10)</f>
        <v>29</v>
      </c>
      <c r="O10" s="56">
        <f t="shared" si="3"/>
        <v>51.936668794982111</v>
      </c>
      <c r="P10" s="57">
        <f>Assumptions!$D$29</f>
        <v>10</v>
      </c>
      <c r="Q10" s="58">
        <f>Assumptions!$D$30</f>
        <v>1.6E-2</v>
      </c>
      <c r="R10" s="59">
        <f t="shared" si="4"/>
        <v>0.28654713817921162</v>
      </c>
      <c r="S10" s="59">
        <f t="shared" si="5"/>
        <v>51.650121656802902</v>
      </c>
      <c r="T10" s="60">
        <f t="shared" si="6"/>
        <v>0.99448275862068969</v>
      </c>
    </row>
    <row r="11" spans="1:20" x14ac:dyDescent="0.2">
      <c r="A11" s="49">
        <v>7</v>
      </c>
      <c r="B11" s="50">
        <f>EDATE(Assumptions!$C$5,A11-1)</f>
        <v>46447</v>
      </c>
      <c r="C11" s="49">
        <f t="shared" si="0"/>
        <v>1</v>
      </c>
      <c r="D11" s="51">
        <f>INDEX('Market Expansion'!$C$21:$C$56,A11)</f>
        <v>5000</v>
      </c>
      <c r="E11" s="52">
        <f>INDEX(Seasonality!$E$8:$E$19,MONTH(B11))</f>
        <v>1.1428571428571428</v>
      </c>
      <c r="F11" s="53">
        <f>Assumptions!$D$16*(1+Assumptions!$D$17)^((A11-1)/12)</f>
        <v>3.2863353450309961E-2</v>
      </c>
      <c r="G11" s="35">
        <f t="shared" si="1"/>
        <v>187.79059114462834</v>
      </c>
      <c r="H11" s="35">
        <f>G11*Assumptions!$D$18</f>
        <v>93.895295572314168</v>
      </c>
      <c r="I11" s="35">
        <f>H11*Assumptions!$D$19</f>
        <v>18.779059114462836</v>
      </c>
      <c r="J11" s="35">
        <f>M10*Assumptions!$D$24</f>
        <v>3.5818392272401453E-2</v>
      </c>
      <c r="K11" s="35">
        <v>0</v>
      </c>
      <c r="L11" s="35">
        <f t="shared" si="2"/>
        <v>18.814877506735236</v>
      </c>
      <c r="M11" s="54">
        <f>L11+M10*(1-Assumptions!$D$23)</f>
        <v>20.014793647860685</v>
      </c>
      <c r="N11" s="55">
        <f>IF(A11&gt;=Assumptions!$D$11,Assumptions!$D$12,Assumptions!$D$10)</f>
        <v>29</v>
      </c>
      <c r="O11" s="56">
        <f t="shared" si="3"/>
        <v>580.42901578795988</v>
      </c>
      <c r="P11" s="57">
        <f>Assumptions!$D$29</f>
        <v>10</v>
      </c>
      <c r="Q11" s="58">
        <f>Assumptions!$D$30</f>
        <v>1.6E-2</v>
      </c>
      <c r="R11" s="59">
        <f t="shared" si="4"/>
        <v>3.2023669836577096</v>
      </c>
      <c r="S11" s="59">
        <f t="shared" si="5"/>
        <v>577.22664880430216</v>
      </c>
      <c r="T11" s="60">
        <f t="shared" si="6"/>
        <v>0.99448275862068958</v>
      </c>
    </row>
    <row r="12" spans="1:20" x14ac:dyDescent="0.2">
      <c r="A12" s="49">
        <v>8</v>
      </c>
      <c r="B12" s="50">
        <f>EDATE(Assumptions!$C$5,A12-1)</f>
        <v>46478</v>
      </c>
      <c r="C12" s="49">
        <f t="shared" si="0"/>
        <v>1</v>
      </c>
      <c r="D12" s="51">
        <f>INDEX('Market Expansion'!$C$21:$C$56,A12)</f>
        <v>5000</v>
      </c>
      <c r="E12" s="52">
        <f>INDEX(Seasonality!$E$8:$E$19,MONTH(B12))</f>
        <v>0.76190476190476186</v>
      </c>
      <c r="F12" s="53">
        <f>Assumptions!$D$16*(1+Assumptions!$D$17)^((A12-1)/12)</f>
        <v>3.3366473990479727E-2</v>
      </c>
      <c r="G12" s="35">
        <f t="shared" si="1"/>
        <v>127.11037710658943</v>
      </c>
      <c r="H12" s="35">
        <f>G12*Assumptions!$D$18</f>
        <v>63.555188553294713</v>
      </c>
      <c r="I12" s="35">
        <f>H12*Assumptions!$D$19</f>
        <v>12.711037710658943</v>
      </c>
      <c r="J12" s="35">
        <f>M11*Assumptions!$D$24</f>
        <v>0.40029587295721369</v>
      </c>
      <c r="K12" s="35">
        <v>0</v>
      </c>
      <c r="L12" s="35">
        <f t="shared" si="2"/>
        <v>13.111333583616156</v>
      </c>
      <c r="M12" s="54">
        <f>L12+M11*(1-Assumptions!$D$23)</f>
        <v>26.521245327682813</v>
      </c>
      <c r="N12" s="55">
        <f>IF(A12&gt;=Assumptions!$D$11,Assumptions!$D$12,Assumptions!$D$10)</f>
        <v>29</v>
      </c>
      <c r="O12" s="56">
        <f t="shared" si="3"/>
        <v>769.11611450280157</v>
      </c>
      <c r="P12" s="57">
        <f>Assumptions!$D$29</f>
        <v>10</v>
      </c>
      <c r="Q12" s="58">
        <f>Assumptions!$D$30</f>
        <v>1.6E-2</v>
      </c>
      <c r="R12" s="59">
        <f t="shared" si="4"/>
        <v>4.2433992524292501</v>
      </c>
      <c r="S12" s="59">
        <f t="shared" si="5"/>
        <v>764.87271525037227</v>
      </c>
      <c r="T12" s="60">
        <f t="shared" si="6"/>
        <v>0.99448275862068958</v>
      </c>
    </row>
    <row r="13" spans="1:20" x14ac:dyDescent="0.2">
      <c r="A13" s="49">
        <v>9</v>
      </c>
      <c r="B13" s="50">
        <f>EDATE(Assumptions!$C$5,A13-1)</f>
        <v>46508</v>
      </c>
      <c r="C13" s="49">
        <f t="shared" si="0"/>
        <v>1</v>
      </c>
      <c r="D13" s="51">
        <f>INDEX('Market Expansion'!$C$21:$C$56,A13)</f>
        <v>5000</v>
      </c>
      <c r="E13" s="52">
        <f>INDEX(Seasonality!$E$8:$E$19,MONTH(B13))</f>
        <v>0.47619047619047616</v>
      </c>
      <c r="F13" s="53">
        <f>Assumptions!$D$16*(1+Assumptions!$D$17)^((A13-1)/12)</f>
        <v>3.3877297039717022E-2</v>
      </c>
      <c r="G13" s="35">
        <f t="shared" si="1"/>
        <v>80.660231046945285</v>
      </c>
      <c r="H13" s="35">
        <f>G13*Assumptions!$D$18</f>
        <v>40.330115523472642</v>
      </c>
      <c r="I13" s="35">
        <f>H13*Assumptions!$D$19</f>
        <v>8.0660231046945281</v>
      </c>
      <c r="J13" s="35">
        <f>M12*Assumptions!$D$24</f>
        <v>0.53042490655365626</v>
      </c>
      <c r="K13" s="35">
        <v>0</v>
      </c>
      <c r="L13" s="35">
        <f t="shared" si="2"/>
        <v>8.5964480112481851</v>
      </c>
      <c r="M13" s="54">
        <f>L13+M12*(1-Assumptions!$D$23)</f>
        <v>26.365682380795668</v>
      </c>
      <c r="N13" s="55">
        <f>IF(A13&gt;=Assumptions!$D$11,Assumptions!$D$12,Assumptions!$D$10)</f>
        <v>29</v>
      </c>
      <c r="O13" s="56">
        <f t="shared" si="3"/>
        <v>764.60478904307433</v>
      </c>
      <c r="P13" s="57">
        <f>Assumptions!$D$29</f>
        <v>10</v>
      </c>
      <c r="Q13" s="58">
        <f>Assumptions!$D$30</f>
        <v>1.6E-2</v>
      </c>
      <c r="R13" s="59">
        <f t="shared" si="4"/>
        <v>4.218509180927307</v>
      </c>
      <c r="S13" s="59">
        <f t="shared" si="5"/>
        <v>760.38627986214703</v>
      </c>
      <c r="T13" s="60">
        <f t="shared" si="6"/>
        <v>0.99448275862068969</v>
      </c>
    </row>
    <row r="14" spans="1:20" x14ac:dyDescent="0.2">
      <c r="A14" s="49">
        <v>10</v>
      </c>
      <c r="B14" s="50">
        <f>EDATE(Assumptions!$C$5,A14-1)</f>
        <v>46539</v>
      </c>
      <c r="C14" s="49">
        <f t="shared" si="0"/>
        <v>1</v>
      </c>
      <c r="D14" s="51">
        <f>INDEX('Market Expansion'!$C$21:$C$56,A14)</f>
        <v>5000</v>
      </c>
      <c r="E14" s="52">
        <f>INDEX(Seasonality!$E$8:$E$19,MONTH(B14))</f>
        <v>0.66666666666666663</v>
      </c>
      <c r="F14" s="53">
        <f>Assumptions!$D$16*(1+Assumptions!$D$17)^((A14-1)/12)</f>
        <v>3.4395940519357203E-2</v>
      </c>
      <c r="G14" s="35">
        <f t="shared" si="1"/>
        <v>114.65313506452401</v>
      </c>
      <c r="H14" s="35">
        <f>G14*Assumptions!$D$18</f>
        <v>57.326567532262004</v>
      </c>
      <c r="I14" s="35">
        <f>H14*Assumptions!$D$19</f>
        <v>11.465313506452402</v>
      </c>
      <c r="J14" s="35">
        <f>M13*Assumptions!$D$24</f>
        <v>0.52731364761591337</v>
      </c>
      <c r="K14" s="35">
        <v>0</v>
      </c>
      <c r="L14" s="35">
        <f t="shared" si="2"/>
        <v>11.992627154068316</v>
      </c>
      <c r="M14" s="54">
        <f>L14+M13*(1-Assumptions!$D$23)</f>
        <v>29.657634349201413</v>
      </c>
      <c r="N14" s="55">
        <f>IF(A14&gt;=Assumptions!$D$11,Assumptions!$D$12,Assumptions!$D$10)</f>
        <v>29</v>
      </c>
      <c r="O14" s="56">
        <f t="shared" si="3"/>
        <v>860.07139612684091</v>
      </c>
      <c r="P14" s="57">
        <f>Assumptions!$D$29</f>
        <v>10</v>
      </c>
      <c r="Q14" s="58">
        <f>Assumptions!$D$30</f>
        <v>1.6E-2</v>
      </c>
      <c r="R14" s="59">
        <f t="shared" si="4"/>
        <v>4.7452214958722259</v>
      </c>
      <c r="S14" s="59">
        <f t="shared" si="5"/>
        <v>855.32617463096869</v>
      </c>
      <c r="T14" s="60">
        <f t="shared" si="6"/>
        <v>0.99448275862068969</v>
      </c>
    </row>
    <row r="15" spans="1:20" x14ac:dyDescent="0.2">
      <c r="A15" s="49">
        <v>11</v>
      </c>
      <c r="B15" s="50">
        <f>EDATE(Assumptions!$C$5,A15-1)</f>
        <v>46569</v>
      </c>
      <c r="C15" s="49">
        <f t="shared" si="0"/>
        <v>1</v>
      </c>
      <c r="D15" s="51">
        <f>INDEX('Market Expansion'!$C$21:$C$56,A15)</f>
        <v>5000</v>
      </c>
      <c r="E15" s="52">
        <f>INDEX(Seasonality!$E$8:$E$19,MONTH(B15))</f>
        <v>0.95238095238095233</v>
      </c>
      <c r="F15" s="53">
        <f>Assumptions!$D$16*(1+Assumptions!$D$17)^((A15-1)/12)</f>
        <v>3.4922524156048816E-2</v>
      </c>
      <c r="G15" s="35">
        <f t="shared" si="1"/>
        <v>166.29773407642293</v>
      </c>
      <c r="H15" s="35">
        <f>G15*Assumptions!$D$18</f>
        <v>83.148867038211463</v>
      </c>
      <c r="I15" s="35">
        <f>H15*Assumptions!$D$19</f>
        <v>16.629773407642293</v>
      </c>
      <c r="J15" s="35">
        <f>M14*Assumptions!$D$24</f>
        <v>0.59315268698402823</v>
      </c>
      <c r="K15" s="35">
        <v>0</v>
      </c>
      <c r="L15" s="35">
        <f t="shared" si="2"/>
        <v>17.22292609462632</v>
      </c>
      <c r="M15" s="54">
        <f>L15+M14*(1-Assumptions!$D$23)</f>
        <v>37.093541108591268</v>
      </c>
      <c r="N15" s="55">
        <f>IF(A15&gt;=Assumptions!$D$11,Assumptions!$D$12,Assumptions!$D$10)</f>
        <v>29</v>
      </c>
      <c r="O15" s="56">
        <f t="shared" si="3"/>
        <v>1075.7126921491467</v>
      </c>
      <c r="P15" s="57">
        <f>Assumptions!$D$29</f>
        <v>10</v>
      </c>
      <c r="Q15" s="58">
        <f>Assumptions!$D$30</f>
        <v>1.6E-2</v>
      </c>
      <c r="R15" s="59">
        <f t="shared" si="4"/>
        <v>5.9349665773746025</v>
      </c>
      <c r="S15" s="59">
        <f t="shared" si="5"/>
        <v>1069.7777255717722</v>
      </c>
      <c r="T15" s="60">
        <f t="shared" si="6"/>
        <v>0.99448275862068969</v>
      </c>
    </row>
    <row r="16" spans="1:20" x14ac:dyDescent="0.2">
      <c r="A16" s="49">
        <v>12</v>
      </c>
      <c r="B16" s="50">
        <f>EDATE(Assumptions!$C$5,A16-1)</f>
        <v>46600</v>
      </c>
      <c r="C16" s="49">
        <f t="shared" si="0"/>
        <v>1</v>
      </c>
      <c r="D16" s="51">
        <f>INDEX('Market Expansion'!$C$21:$C$56,A16)</f>
        <v>5000</v>
      </c>
      <c r="E16" s="52">
        <f>INDEX(Seasonality!$E$8:$E$19,MONTH(B16))</f>
        <v>1.3333333333333333</v>
      </c>
      <c r="F16" s="53">
        <f>Assumptions!$D$16*(1+Assumptions!$D$17)^((A16-1)/12)</f>
        <v>3.5457169509391991E-2</v>
      </c>
      <c r="G16" s="35">
        <f t="shared" si="1"/>
        <v>236.38113006261327</v>
      </c>
      <c r="H16" s="35">
        <f>G16*Assumptions!$D$18</f>
        <v>118.19056503130663</v>
      </c>
      <c r="I16" s="35">
        <f>H16*Assumptions!$D$19</f>
        <v>23.638113006261328</v>
      </c>
      <c r="J16" s="35">
        <f>M15*Assumptions!$D$24</f>
        <v>0.74187082217182532</v>
      </c>
      <c r="K16" s="35">
        <v>0</v>
      </c>
      <c r="L16" s="35">
        <f t="shared" si="2"/>
        <v>24.379983828433154</v>
      </c>
      <c r="M16" s="54">
        <f>L16+M15*(1-Assumptions!$D$23)</f>
        <v>49.2326563711893</v>
      </c>
      <c r="N16" s="55">
        <f>IF(A16&gt;=Assumptions!$D$11,Assumptions!$D$12,Assumptions!$D$10)</f>
        <v>29</v>
      </c>
      <c r="O16" s="56">
        <f t="shared" si="3"/>
        <v>1427.7470347644896</v>
      </c>
      <c r="P16" s="57">
        <f>Assumptions!$D$29</f>
        <v>10</v>
      </c>
      <c r="Q16" s="58">
        <f>Assumptions!$D$30</f>
        <v>1.6E-2</v>
      </c>
      <c r="R16" s="59">
        <f t="shared" si="4"/>
        <v>7.8772250193902886</v>
      </c>
      <c r="S16" s="59">
        <f t="shared" si="5"/>
        <v>1419.8698097450992</v>
      </c>
      <c r="T16" s="60">
        <f t="shared" si="6"/>
        <v>0.99448275862068958</v>
      </c>
    </row>
    <row r="17" spans="1:20" x14ac:dyDescent="0.2">
      <c r="A17" s="49">
        <v>13</v>
      </c>
      <c r="B17" s="50">
        <f>EDATE(Assumptions!$C$5,A17-1)</f>
        <v>46631</v>
      </c>
      <c r="C17" s="49">
        <f t="shared" si="0"/>
        <v>2</v>
      </c>
      <c r="D17" s="51">
        <f>INDEX('Market Expansion'!$C$21:$C$56,A17)</f>
        <v>5000</v>
      </c>
      <c r="E17" s="52">
        <f>INDEX(Seasonality!$E$8:$E$19,MONTH(B17))</f>
        <v>1.7142857142857142</v>
      </c>
      <c r="F17" s="53">
        <f>Assumptions!$D$16*(1+Assumptions!$D$17)^((A17-1)/12)</f>
        <v>3.5999999999999997E-2</v>
      </c>
      <c r="G17" s="35">
        <f t="shared" si="1"/>
        <v>308.57142857142856</v>
      </c>
      <c r="H17" s="35">
        <f>G17*Assumptions!$D$18</f>
        <v>154.28571428571428</v>
      </c>
      <c r="I17" s="35">
        <f>H17*Assumptions!$D$19</f>
        <v>30.857142857142858</v>
      </c>
      <c r="J17" s="35">
        <f>M16*Assumptions!$D$24</f>
        <v>0.98465312742378608</v>
      </c>
      <c r="K17" s="35">
        <f>M5*Assumptions!$D$25</f>
        <v>8.2285714285714281E-2</v>
      </c>
      <c r="L17" s="35">
        <f t="shared" si="2"/>
        <v>31.924081698852358</v>
      </c>
      <c r="M17" s="54">
        <f>L17+M16*(1-Assumptions!$D$23)</f>
        <v>64.909961467549181</v>
      </c>
      <c r="N17" s="55">
        <f>IF(A17&gt;=Assumptions!$D$11,Assumptions!$D$12,Assumptions!$D$10)</f>
        <v>29</v>
      </c>
      <c r="O17" s="56">
        <f t="shared" si="3"/>
        <v>1882.3888825589263</v>
      </c>
      <c r="P17" s="57">
        <f>Assumptions!$D$29</f>
        <v>10</v>
      </c>
      <c r="Q17" s="58">
        <f>Assumptions!$D$30</f>
        <v>1.6E-2</v>
      </c>
      <c r="R17" s="59">
        <f t="shared" si="4"/>
        <v>10.385593834807869</v>
      </c>
      <c r="S17" s="59">
        <f t="shared" si="5"/>
        <v>1872.0032887241184</v>
      </c>
      <c r="T17" s="60">
        <f t="shared" si="6"/>
        <v>0.99448275862068969</v>
      </c>
    </row>
    <row r="18" spans="1:20" x14ac:dyDescent="0.2">
      <c r="A18" s="49">
        <v>14</v>
      </c>
      <c r="B18" s="50">
        <f>EDATE(Assumptions!$C$5,A18-1)</f>
        <v>46661</v>
      </c>
      <c r="C18" s="49">
        <f t="shared" si="0"/>
        <v>2</v>
      </c>
      <c r="D18" s="51">
        <f>INDEX('Market Expansion'!$C$21:$C$56,A18)</f>
        <v>5000</v>
      </c>
      <c r="E18" s="52">
        <f>INDEX(Seasonality!$E$8:$E$19,MONTH(B18))</f>
        <v>1.5238095238095237</v>
      </c>
      <c r="F18" s="53">
        <f>Assumptions!$D$16*(1+Assumptions!$D$17)^((A18-1)/12)</f>
        <v>3.655114093799032E-2</v>
      </c>
      <c r="G18" s="35">
        <f t="shared" si="1"/>
        <v>278.48488333706911</v>
      </c>
      <c r="H18" s="35">
        <f>G18*Assumptions!$D$18</f>
        <v>139.24244166853455</v>
      </c>
      <c r="I18" s="35">
        <f>H18*Assumptions!$D$19</f>
        <v>27.848488333706911</v>
      </c>
      <c r="J18" s="35">
        <f>M17*Assumptions!$D$24</f>
        <v>1.2981992293509836</v>
      </c>
      <c r="K18" s="35">
        <f>M6*Assumptions!$D$25</f>
        <v>0.13103977841369463</v>
      </c>
      <c r="L18" s="35">
        <f t="shared" si="2"/>
        <v>29.277727341471589</v>
      </c>
      <c r="M18" s="54">
        <f>L18+M17*(1-Assumptions!$D$23)</f>
        <v>72.767401524729536</v>
      </c>
      <c r="N18" s="55">
        <f>IF(A18&gt;=Assumptions!$D$11,Assumptions!$D$12,Assumptions!$D$10)</f>
        <v>29</v>
      </c>
      <c r="O18" s="56">
        <f t="shared" si="3"/>
        <v>2110.2546442171565</v>
      </c>
      <c r="P18" s="57">
        <f>Assumptions!$D$29</f>
        <v>10</v>
      </c>
      <c r="Q18" s="58">
        <f>Assumptions!$D$30</f>
        <v>1.6E-2</v>
      </c>
      <c r="R18" s="59">
        <f t="shared" si="4"/>
        <v>11.642784243956726</v>
      </c>
      <c r="S18" s="59">
        <f t="shared" si="5"/>
        <v>2098.6118599731999</v>
      </c>
      <c r="T18" s="60">
        <f t="shared" si="6"/>
        <v>0.99448275862068969</v>
      </c>
    </row>
    <row r="19" spans="1:20" x14ac:dyDescent="0.2">
      <c r="A19" s="49">
        <v>15</v>
      </c>
      <c r="B19" s="50">
        <f>EDATE(Assumptions!$C$5,A19-1)</f>
        <v>46692</v>
      </c>
      <c r="C19" s="49">
        <f t="shared" si="0"/>
        <v>2</v>
      </c>
      <c r="D19" s="51">
        <f>INDEX('Market Expansion'!$C$21:$C$56,A19)</f>
        <v>5000</v>
      </c>
      <c r="E19" s="52">
        <f>INDEX(Seasonality!$E$8:$E$19,MONTH(B19))</f>
        <v>0.95238095238095233</v>
      </c>
      <c r="F19" s="53">
        <f>Assumptions!$D$16*(1+Assumptions!$D$17)^((A19-1)/12)</f>
        <v>3.7110719551912003E-2</v>
      </c>
      <c r="G19" s="35">
        <f t="shared" si="1"/>
        <v>176.7177121519619</v>
      </c>
      <c r="H19" s="35">
        <f>G19*Assumptions!$D$18</f>
        <v>88.358856075980952</v>
      </c>
      <c r="I19" s="35">
        <f>H19*Assumptions!$D$19</f>
        <v>17.671771215196191</v>
      </c>
      <c r="J19" s="35">
        <f>M18*Assumptions!$D$24</f>
        <v>1.4553480304945907</v>
      </c>
      <c r="K19" s="35">
        <f>M7*Assumptions!$D$25</f>
        <v>0.13754217034597246</v>
      </c>
      <c r="L19" s="35">
        <f t="shared" si="2"/>
        <v>19.264661416036756</v>
      </c>
      <c r="M19" s="54">
        <f>L19+M18*(1-Assumptions!$D$23)</f>
        <v>68.018820437605541</v>
      </c>
      <c r="N19" s="55">
        <f>IF(A19&gt;=Assumptions!$D$11,Assumptions!$D$12,Assumptions!$D$10)</f>
        <v>29</v>
      </c>
      <c r="O19" s="56">
        <f t="shared" si="3"/>
        <v>1972.5457926905606</v>
      </c>
      <c r="P19" s="57">
        <f>Assumptions!$D$29</f>
        <v>10</v>
      </c>
      <c r="Q19" s="58">
        <f>Assumptions!$D$30</f>
        <v>1.6E-2</v>
      </c>
      <c r="R19" s="59">
        <f t="shared" si="4"/>
        <v>10.883011270016887</v>
      </c>
      <c r="S19" s="59">
        <f t="shared" si="5"/>
        <v>1961.6627814205438</v>
      </c>
      <c r="T19" s="60">
        <f t="shared" si="6"/>
        <v>0.99448275862068969</v>
      </c>
    </row>
    <row r="20" spans="1:20" x14ac:dyDescent="0.2">
      <c r="A20" s="49">
        <v>16</v>
      </c>
      <c r="B20" s="50">
        <f>EDATE(Assumptions!$C$5,A20-1)</f>
        <v>46722</v>
      </c>
      <c r="C20" s="49">
        <f t="shared" si="0"/>
        <v>2</v>
      </c>
      <c r="D20" s="51">
        <f>INDEX('Market Expansion'!$C$21:$C$56,A20)</f>
        <v>25000</v>
      </c>
      <c r="E20" s="52">
        <f>INDEX(Seasonality!$E$8:$E$19,MONTH(B20))</f>
        <v>0.5714285714285714</v>
      </c>
      <c r="F20" s="53">
        <f>Assumptions!$D$16*(1+Assumptions!$D$17)^((A20-1)/12)</f>
        <v>3.7678865018115792E-2</v>
      </c>
      <c r="G20" s="35">
        <f t="shared" si="1"/>
        <v>538.26950025879705</v>
      </c>
      <c r="H20" s="35">
        <f>G20*Assumptions!$D$18</f>
        <v>269.13475012939853</v>
      </c>
      <c r="I20" s="35">
        <f>H20*Assumptions!$D$19</f>
        <v>53.826950025879711</v>
      </c>
      <c r="J20" s="35">
        <f>M19*Assumptions!$D$24</f>
        <v>1.3603764087521109</v>
      </c>
      <c r="K20" s="35">
        <f>M8*Assumptions!$D$25</f>
        <v>0.12361180421919019</v>
      </c>
      <c r="L20" s="35">
        <f t="shared" si="2"/>
        <v>55.310938238851008</v>
      </c>
      <c r="M20" s="54">
        <f>L20+M19*(1-Assumptions!$D$23)</f>
        <v>100.88354793204672</v>
      </c>
      <c r="N20" s="55">
        <f>IF(A20&gt;=Assumptions!$D$11,Assumptions!$D$12,Assumptions!$D$10)</f>
        <v>29</v>
      </c>
      <c r="O20" s="56">
        <f t="shared" si="3"/>
        <v>2925.6228900293549</v>
      </c>
      <c r="P20" s="57">
        <f>Assumptions!$D$29</f>
        <v>10</v>
      </c>
      <c r="Q20" s="58">
        <f>Assumptions!$D$30</f>
        <v>1.6E-2</v>
      </c>
      <c r="R20" s="59">
        <f t="shared" si="4"/>
        <v>16.141367669127476</v>
      </c>
      <c r="S20" s="59">
        <f t="shared" si="5"/>
        <v>2909.4815223602272</v>
      </c>
      <c r="T20" s="60">
        <f t="shared" si="6"/>
        <v>0.99448275862068958</v>
      </c>
    </row>
    <row r="21" spans="1:20" x14ac:dyDescent="0.2">
      <c r="A21" s="49">
        <v>17</v>
      </c>
      <c r="B21" s="50">
        <f>EDATE(Assumptions!$C$5,A21-1)</f>
        <v>46753</v>
      </c>
      <c r="C21" s="49">
        <f t="shared" si="0"/>
        <v>2</v>
      </c>
      <c r="D21" s="51">
        <f>INDEX('Market Expansion'!$C$21:$C$56,A21)</f>
        <v>25000</v>
      </c>
      <c r="E21" s="52">
        <f>INDEX(Seasonality!$E$8:$E$19,MONTH(B21))</f>
        <v>0.8571428571428571</v>
      </c>
      <c r="F21" s="53">
        <f>Assumptions!$D$16*(1+Assumptions!$D$17)^((A21-1)/12)</f>
        <v>3.8255708490573997E-2</v>
      </c>
      <c r="G21" s="35">
        <f t="shared" si="1"/>
        <v>819.76518194087134</v>
      </c>
      <c r="H21" s="35">
        <f>G21*Assumptions!$D$18</f>
        <v>409.88259097043567</v>
      </c>
      <c r="I21" s="35">
        <f>H21*Assumptions!$D$19</f>
        <v>81.976518194087134</v>
      </c>
      <c r="J21" s="35">
        <f>M20*Assumptions!$D$24</f>
        <v>2.0176709586409345</v>
      </c>
      <c r="K21" s="35">
        <f>M9*Assumptions!$D$25</f>
        <v>0.12901295461475437</v>
      </c>
      <c r="L21" s="35">
        <f t="shared" si="2"/>
        <v>84.12320210734282</v>
      </c>
      <c r="M21" s="54">
        <f>L21+M20*(1-Assumptions!$D$23)</f>
        <v>151.71517922181411</v>
      </c>
      <c r="N21" s="55">
        <f>IF(A21&gt;=Assumptions!$D$11,Assumptions!$D$12,Assumptions!$D$10)</f>
        <v>29</v>
      </c>
      <c r="O21" s="56">
        <f t="shared" si="3"/>
        <v>4399.7401974326094</v>
      </c>
      <c r="P21" s="57">
        <f>Assumptions!$D$29</f>
        <v>10</v>
      </c>
      <c r="Q21" s="58">
        <f>Assumptions!$D$30</f>
        <v>1.6E-2</v>
      </c>
      <c r="R21" s="59">
        <f t="shared" si="4"/>
        <v>24.274428675490256</v>
      </c>
      <c r="S21" s="59">
        <f t="shared" si="5"/>
        <v>4375.4657687571189</v>
      </c>
      <c r="T21" s="60">
        <f t="shared" si="6"/>
        <v>0.99448275862068958</v>
      </c>
    </row>
    <row r="22" spans="1:20" x14ac:dyDescent="0.2">
      <c r="A22" s="49">
        <v>18</v>
      </c>
      <c r="B22" s="50">
        <f>EDATE(Assumptions!$C$5,A22-1)</f>
        <v>46784</v>
      </c>
      <c r="C22" s="49">
        <f t="shared" si="0"/>
        <v>2</v>
      </c>
      <c r="D22" s="51">
        <f>INDEX('Market Expansion'!$C$21:$C$56,A22)</f>
        <v>25000</v>
      </c>
      <c r="E22" s="52">
        <f>INDEX(Seasonality!$E$8:$E$19,MONTH(B22))</f>
        <v>1.0476190476190477</v>
      </c>
      <c r="F22" s="53">
        <f>Assumptions!$D$16*(1+Assumptions!$D$17)^((A22-1)/12)</f>
        <v>3.8841383131156759E-2</v>
      </c>
      <c r="G22" s="35">
        <f t="shared" si="1"/>
        <v>1017.2743201017247</v>
      </c>
      <c r="H22" s="35">
        <f>G22*Assumptions!$D$18</f>
        <v>508.63716005086235</v>
      </c>
      <c r="I22" s="35">
        <f>H22*Assumptions!$D$19</f>
        <v>101.72743201017248</v>
      </c>
      <c r="J22" s="35">
        <f>M21*Assumptions!$D$24</f>
        <v>3.0343035844362825</v>
      </c>
      <c r="K22" s="35">
        <f>M10*Assumptions!$D$25</f>
        <v>0.14327356908960581</v>
      </c>
      <c r="L22" s="35">
        <f t="shared" si="2"/>
        <v>104.90500916369837</v>
      </c>
      <c r="M22" s="54">
        <f>L22+M21*(1-Assumptions!$D$23)</f>
        <v>206.55417924231381</v>
      </c>
      <c r="N22" s="55">
        <f>IF(A22&gt;=Assumptions!$D$11,Assumptions!$D$12,Assumptions!$D$10)</f>
        <v>29</v>
      </c>
      <c r="O22" s="56">
        <f t="shared" si="3"/>
        <v>5990.0711980271008</v>
      </c>
      <c r="P22" s="57">
        <f>Assumptions!$D$29</f>
        <v>10</v>
      </c>
      <c r="Q22" s="58">
        <f>Assumptions!$D$30</f>
        <v>1.6E-2</v>
      </c>
      <c r="R22" s="59">
        <f t="shared" si="4"/>
        <v>33.048668678770206</v>
      </c>
      <c r="S22" s="59">
        <f t="shared" si="5"/>
        <v>5957.0225293483309</v>
      </c>
      <c r="T22" s="60">
        <f t="shared" si="6"/>
        <v>0.99448275862068969</v>
      </c>
    </row>
    <row r="23" spans="1:20" x14ac:dyDescent="0.2">
      <c r="A23" s="49">
        <v>19</v>
      </c>
      <c r="B23" s="50">
        <f>EDATE(Assumptions!$C$5,A23-1)</f>
        <v>46813</v>
      </c>
      <c r="C23" s="49">
        <f t="shared" si="0"/>
        <v>2</v>
      </c>
      <c r="D23" s="51">
        <f>INDEX('Market Expansion'!$C$21:$C$56,A23)</f>
        <v>25000</v>
      </c>
      <c r="E23" s="52">
        <f>INDEX(Seasonality!$E$8:$E$19,MONTH(B23))</f>
        <v>1.1428571428571428</v>
      </c>
      <c r="F23" s="53">
        <f>Assumptions!$D$16*(1+Assumptions!$D$17)^((A23-1)/12)</f>
        <v>3.9436024140371957E-2</v>
      </c>
      <c r="G23" s="35">
        <f t="shared" si="1"/>
        <v>1126.7435468677702</v>
      </c>
      <c r="H23" s="35">
        <f>G23*Assumptions!$D$18</f>
        <v>563.3717734338851</v>
      </c>
      <c r="I23" s="35">
        <f>H23*Assumptions!$D$19</f>
        <v>112.67435468677702</v>
      </c>
      <c r="J23" s="35">
        <f>M22*Assumptions!$D$24</f>
        <v>4.1310835848462766</v>
      </c>
      <c r="K23" s="35">
        <f>M11*Assumptions!$D$25</f>
        <v>1.6011834918288548</v>
      </c>
      <c r="L23" s="35">
        <f t="shared" si="2"/>
        <v>118.40662176345215</v>
      </c>
      <c r="M23" s="54">
        <f>L23+M22*(1-Assumptions!$D$23)</f>
        <v>256.79792185580237</v>
      </c>
      <c r="N23" s="55">
        <f>IF(A23&gt;=Assumptions!$D$11,Assumptions!$D$12,Assumptions!$D$10)</f>
        <v>29</v>
      </c>
      <c r="O23" s="56">
        <f t="shared" si="3"/>
        <v>7447.1397338182687</v>
      </c>
      <c r="P23" s="57">
        <f>Assumptions!$D$29</f>
        <v>10</v>
      </c>
      <c r="Q23" s="58">
        <f>Assumptions!$D$30</f>
        <v>1.6E-2</v>
      </c>
      <c r="R23" s="59">
        <f t="shared" si="4"/>
        <v>41.087667496928375</v>
      </c>
      <c r="S23" s="59">
        <f t="shared" si="5"/>
        <v>7406.0520663213401</v>
      </c>
      <c r="T23" s="60">
        <f t="shared" si="6"/>
        <v>0.99448275862068958</v>
      </c>
    </row>
    <row r="24" spans="1:20" x14ac:dyDescent="0.2">
      <c r="A24" s="49">
        <v>20</v>
      </c>
      <c r="B24" s="50">
        <f>EDATE(Assumptions!$C$5,A24-1)</f>
        <v>46844</v>
      </c>
      <c r="C24" s="49">
        <f t="shared" si="0"/>
        <v>2</v>
      </c>
      <c r="D24" s="51">
        <f>INDEX('Market Expansion'!$C$21:$C$56,A24)</f>
        <v>25000</v>
      </c>
      <c r="E24" s="52">
        <f>INDEX(Seasonality!$E$8:$E$19,MONTH(B24))</f>
        <v>0.76190476190476186</v>
      </c>
      <c r="F24" s="53">
        <f>Assumptions!$D$16*(1+Assumptions!$D$17)^((A24-1)/12)</f>
        <v>4.0039768788575673E-2</v>
      </c>
      <c r="G24" s="35">
        <f t="shared" si="1"/>
        <v>762.66226263953661</v>
      </c>
      <c r="H24" s="35">
        <f>G24*Assumptions!$D$18</f>
        <v>381.3311313197683</v>
      </c>
      <c r="I24" s="35">
        <f>H24*Assumptions!$D$19</f>
        <v>76.266226263953669</v>
      </c>
      <c r="J24" s="35">
        <f>M23*Assumptions!$D$24</f>
        <v>5.1359584371160478</v>
      </c>
      <c r="K24" s="35">
        <f>M12*Assumptions!$D$25</f>
        <v>2.121699626214625</v>
      </c>
      <c r="L24" s="35">
        <f t="shared" si="2"/>
        <v>83.523884327284335</v>
      </c>
      <c r="M24" s="54">
        <f>L24+M23*(1-Assumptions!$D$23)</f>
        <v>255.57849197067191</v>
      </c>
      <c r="N24" s="55">
        <f>IF(A24&gt;=Assumptions!$D$11,Assumptions!$D$12,Assumptions!$D$10)</f>
        <v>29</v>
      </c>
      <c r="O24" s="56">
        <f t="shared" si="3"/>
        <v>7411.7762671494856</v>
      </c>
      <c r="P24" s="57">
        <f>Assumptions!$D$29</f>
        <v>10</v>
      </c>
      <c r="Q24" s="58">
        <f>Assumptions!$D$30</f>
        <v>1.6E-2</v>
      </c>
      <c r="R24" s="59">
        <f t="shared" si="4"/>
        <v>40.892558715307501</v>
      </c>
      <c r="S24" s="59">
        <f t="shared" si="5"/>
        <v>7370.8837084341785</v>
      </c>
      <c r="T24" s="60">
        <f t="shared" si="6"/>
        <v>0.99448275862068969</v>
      </c>
    </row>
    <row r="25" spans="1:20" x14ac:dyDescent="0.2">
      <c r="A25" s="49">
        <v>21</v>
      </c>
      <c r="B25" s="50">
        <f>EDATE(Assumptions!$C$5,A25-1)</f>
        <v>46874</v>
      </c>
      <c r="C25" s="49">
        <f t="shared" si="0"/>
        <v>2</v>
      </c>
      <c r="D25" s="51">
        <f>INDEX('Market Expansion'!$C$21:$C$56,A25)</f>
        <v>25000</v>
      </c>
      <c r="E25" s="52">
        <f>INDEX(Seasonality!$E$8:$E$19,MONTH(B25))</f>
        <v>0.47619047619047616</v>
      </c>
      <c r="F25" s="53">
        <f>Assumptions!$D$16*(1+Assumptions!$D$17)^((A25-1)/12)</f>
        <v>4.0652756447660428E-2</v>
      </c>
      <c r="G25" s="35">
        <f t="shared" si="1"/>
        <v>483.96138628167171</v>
      </c>
      <c r="H25" s="35">
        <f>G25*Assumptions!$D$18</f>
        <v>241.98069314083585</v>
      </c>
      <c r="I25" s="35">
        <f>H25*Assumptions!$D$19</f>
        <v>48.396138628167172</v>
      </c>
      <c r="J25" s="35">
        <f>M24*Assumptions!$D$24</f>
        <v>5.1115698394134386</v>
      </c>
      <c r="K25" s="35">
        <f>M13*Assumptions!$D$25</f>
        <v>2.1092545904636535</v>
      </c>
      <c r="L25" s="35">
        <f t="shared" si="2"/>
        <v>55.61696305804427</v>
      </c>
      <c r="M25" s="54">
        <f>L25+M24*(1-Assumptions!$D$23)</f>
        <v>226.85455267839441</v>
      </c>
      <c r="N25" s="55">
        <f>IF(A25&gt;=Assumptions!$D$11,Assumptions!$D$12,Assumptions!$D$10)</f>
        <v>29</v>
      </c>
      <c r="O25" s="56">
        <f t="shared" si="3"/>
        <v>6578.7820276734383</v>
      </c>
      <c r="P25" s="57">
        <f>Assumptions!$D$29</f>
        <v>10</v>
      </c>
      <c r="Q25" s="58">
        <f>Assumptions!$D$30</f>
        <v>1.6E-2</v>
      </c>
      <c r="R25" s="59">
        <f t="shared" si="4"/>
        <v>36.296728428543112</v>
      </c>
      <c r="S25" s="59">
        <f t="shared" si="5"/>
        <v>6542.485299244895</v>
      </c>
      <c r="T25" s="60">
        <f t="shared" si="6"/>
        <v>0.99448275862068969</v>
      </c>
    </row>
    <row r="26" spans="1:20" x14ac:dyDescent="0.2">
      <c r="A26" s="49">
        <v>22</v>
      </c>
      <c r="B26" s="50">
        <f>EDATE(Assumptions!$C$5,A26-1)</f>
        <v>46905</v>
      </c>
      <c r="C26" s="49">
        <f t="shared" si="0"/>
        <v>2</v>
      </c>
      <c r="D26" s="51">
        <f>INDEX('Market Expansion'!$C$21:$C$56,A26)</f>
        <v>25000</v>
      </c>
      <c r="E26" s="52">
        <f>INDEX(Seasonality!$E$8:$E$19,MONTH(B26))</f>
        <v>0.66666666666666663</v>
      </c>
      <c r="F26" s="53">
        <f>Assumptions!$D$16*(1+Assumptions!$D$17)^((A26-1)/12)</f>
        <v>4.1275128623228644E-2</v>
      </c>
      <c r="G26" s="35">
        <f t="shared" si="1"/>
        <v>687.91881038714405</v>
      </c>
      <c r="H26" s="35">
        <f>G26*Assumptions!$D$18</f>
        <v>343.95940519357202</v>
      </c>
      <c r="I26" s="35">
        <f>H26*Assumptions!$D$19</f>
        <v>68.791881038714408</v>
      </c>
      <c r="J26" s="35">
        <f>M25*Assumptions!$D$24</f>
        <v>4.5370910535678881</v>
      </c>
      <c r="K26" s="35">
        <f>M14*Assumptions!$D$25</f>
        <v>2.3726107479361129</v>
      </c>
      <c r="L26" s="35">
        <f t="shared" si="2"/>
        <v>75.701582840218407</v>
      </c>
      <c r="M26" s="54">
        <f>L26+M25*(1-Assumptions!$D$23)</f>
        <v>227.69413313474266</v>
      </c>
      <c r="N26" s="55">
        <f>IF(A26&gt;=Assumptions!$D$11,Assumptions!$D$12,Assumptions!$D$10)</f>
        <v>29</v>
      </c>
      <c r="O26" s="56">
        <f t="shared" si="3"/>
        <v>6603.1298609075375</v>
      </c>
      <c r="P26" s="57">
        <f>Assumptions!$D$29</f>
        <v>10</v>
      </c>
      <c r="Q26" s="58">
        <f>Assumptions!$D$30</f>
        <v>1.6E-2</v>
      </c>
      <c r="R26" s="59">
        <f t="shared" si="4"/>
        <v>36.431061301558827</v>
      </c>
      <c r="S26" s="59">
        <f t="shared" si="5"/>
        <v>6566.6987996059788</v>
      </c>
      <c r="T26" s="60">
        <f t="shared" si="6"/>
        <v>0.99448275862068969</v>
      </c>
    </row>
    <row r="27" spans="1:20" x14ac:dyDescent="0.2">
      <c r="A27" s="49">
        <v>23</v>
      </c>
      <c r="B27" s="50">
        <f>EDATE(Assumptions!$C$5,A27-1)</f>
        <v>46935</v>
      </c>
      <c r="C27" s="49">
        <f t="shared" si="0"/>
        <v>2</v>
      </c>
      <c r="D27" s="51">
        <f>INDEX('Market Expansion'!$C$21:$C$56,A27)</f>
        <v>25000</v>
      </c>
      <c r="E27" s="52">
        <f>INDEX(Seasonality!$E$8:$E$19,MONTH(B27))</f>
        <v>0.95238095238095233</v>
      </c>
      <c r="F27" s="53">
        <f>Assumptions!$D$16*(1+Assumptions!$D$17)^((A27-1)/12)</f>
        <v>4.1907028987258572E-2</v>
      </c>
      <c r="G27" s="35">
        <f t="shared" si="1"/>
        <v>997.78640445853739</v>
      </c>
      <c r="H27" s="35">
        <f>G27*Assumptions!$D$18</f>
        <v>498.8932022292687</v>
      </c>
      <c r="I27" s="35">
        <f>H27*Assumptions!$D$19</f>
        <v>99.778640445853739</v>
      </c>
      <c r="J27" s="35">
        <f>M26*Assumptions!$D$24</f>
        <v>4.5538826626948534</v>
      </c>
      <c r="K27" s="35">
        <f>M15*Assumptions!$D$25</f>
        <v>2.9674832886873013</v>
      </c>
      <c r="L27" s="35">
        <f t="shared" si="2"/>
        <v>107.3000063972359</v>
      </c>
      <c r="M27" s="54">
        <f>L27+M26*(1-Assumptions!$D$23)</f>
        <v>259.85507559751346</v>
      </c>
      <c r="N27" s="55">
        <f>IF(A27&gt;=Assumptions!$D$11,Assumptions!$D$12,Assumptions!$D$10)</f>
        <v>29</v>
      </c>
      <c r="O27" s="56">
        <f t="shared" si="3"/>
        <v>7535.7971923278901</v>
      </c>
      <c r="P27" s="57">
        <f>Assumptions!$D$29</f>
        <v>10</v>
      </c>
      <c r="Q27" s="58">
        <f>Assumptions!$D$30</f>
        <v>1.6E-2</v>
      </c>
      <c r="R27" s="59">
        <f t="shared" si="4"/>
        <v>41.576812095602151</v>
      </c>
      <c r="S27" s="59">
        <f t="shared" si="5"/>
        <v>7494.2203802322883</v>
      </c>
      <c r="T27" s="60">
        <f t="shared" si="6"/>
        <v>0.99448275862068969</v>
      </c>
    </row>
    <row r="28" spans="1:20" x14ac:dyDescent="0.2">
      <c r="A28" s="49">
        <v>24</v>
      </c>
      <c r="B28" s="50">
        <f>EDATE(Assumptions!$C$5,A28-1)</f>
        <v>46966</v>
      </c>
      <c r="C28" s="49">
        <f t="shared" si="0"/>
        <v>2</v>
      </c>
      <c r="D28" s="51">
        <f>INDEX('Market Expansion'!$C$21:$C$56,A28)</f>
        <v>25000</v>
      </c>
      <c r="E28" s="52">
        <f>INDEX(Seasonality!$E$8:$E$19,MONTH(B28))</f>
        <v>1.3333333333333333</v>
      </c>
      <c r="F28" s="53">
        <f>Assumptions!$D$16*(1+Assumptions!$D$17)^((A28-1)/12)</f>
        <v>4.254860341127039E-2</v>
      </c>
      <c r="G28" s="35">
        <f t="shared" si="1"/>
        <v>1418.2867803756794</v>
      </c>
      <c r="H28" s="35">
        <f>G28*Assumptions!$D$18</f>
        <v>709.14339018783971</v>
      </c>
      <c r="I28" s="35">
        <f>H28*Assumptions!$D$19</f>
        <v>141.82867803756795</v>
      </c>
      <c r="J28" s="35">
        <f>M27*Assumptions!$D$24</f>
        <v>5.1971015119502697</v>
      </c>
      <c r="K28" s="35">
        <f>M16*Assumptions!$D$25</f>
        <v>3.9386125096951443</v>
      </c>
      <c r="L28" s="35">
        <f t="shared" si="2"/>
        <v>150.96439205921337</v>
      </c>
      <c r="M28" s="54">
        <f>L28+M27*(1-Assumptions!$D$23)</f>
        <v>325.06729270954736</v>
      </c>
      <c r="N28" s="55">
        <f>IF(A28&gt;=Assumptions!$D$11,Assumptions!$D$12,Assumptions!$D$10)</f>
        <v>29</v>
      </c>
      <c r="O28" s="56">
        <f t="shared" si="3"/>
        <v>9426.9514885768731</v>
      </c>
      <c r="P28" s="57">
        <f>Assumptions!$D$29</f>
        <v>10</v>
      </c>
      <c r="Q28" s="58">
        <f>Assumptions!$D$30</f>
        <v>1.6E-2</v>
      </c>
      <c r="R28" s="59">
        <f t="shared" si="4"/>
        <v>52.010766833527583</v>
      </c>
      <c r="S28" s="59">
        <f t="shared" si="5"/>
        <v>9374.9407217433454</v>
      </c>
      <c r="T28" s="60">
        <f t="shared" si="6"/>
        <v>0.99448275862068969</v>
      </c>
    </row>
    <row r="29" spans="1:20" x14ac:dyDescent="0.2">
      <c r="A29" s="49">
        <v>25</v>
      </c>
      <c r="B29" s="50">
        <f>EDATE(Assumptions!$C$5,A29-1)</f>
        <v>46997</v>
      </c>
      <c r="C29" s="49">
        <f t="shared" si="0"/>
        <v>3</v>
      </c>
      <c r="D29" s="51">
        <f>INDEX('Market Expansion'!$C$21:$C$56,A29)</f>
        <v>25000</v>
      </c>
      <c r="E29" s="52">
        <f>INDEX(Seasonality!$E$8:$E$19,MONTH(B29))</f>
        <v>1.7142857142857142</v>
      </c>
      <c r="F29" s="53">
        <f>Assumptions!$D$16*(1+Assumptions!$D$17)^((A29-1)/12)</f>
        <v>4.3199999999999995E-2</v>
      </c>
      <c r="G29" s="35">
        <f t="shared" si="1"/>
        <v>1851.4285714285709</v>
      </c>
      <c r="H29" s="35">
        <f>G29*Assumptions!$D$18</f>
        <v>925.71428571428544</v>
      </c>
      <c r="I29" s="35">
        <f>H29*Assumptions!$D$19</f>
        <v>185.14285714285711</v>
      </c>
      <c r="J29" s="35">
        <f>M28*Assumptions!$D$24</f>
        <v>6.501345854190947</v>
      </c>
      <c r="K29" s="35">
        <f>M17*Assumptions!$D$25</f>
        <v>5.1927969174039346</v>
      </c>
      <c r="L29" s="35">
        <f t="shared" si="2"/>
        <v>196.83699991445201</v>
      </c>
      <c r="M29" s="54">
        <f>L29+M28*(1-Assumptions!$D$23)</f>
        <v>414.63208602984872</v>
      </c>
      <c r="N29" s="55">
        <f>IF(A29&gt;=Assumptions!$D$11,Assumptions!$D$12,Assumptions!$D$10)</f>
        <v>29</v>
      </c>
      <c r="O29" s="56">
        <f t="shared" si="3"/>
        <v>12024.330494865613</v>
      </c>
      <c r="P29" s="57">
        <f>Assumptions!$D$29</f>
        <v>10</v>
      </c>
      <c r="Q29" s="58">
        <f>Assumptions!$D$30</f>
        <v>1.6E-2</v>
      </c>
      <c r="R29" s="59">
        <f t="shared" si="4"/>
        <v>66.34113376477579</v>
      </c>
      <c r="S29" s="59">
        <f t="shared" si="5"/>
        <v>11957.989361100837</v>
      </c>
      <c r="T29" s="60">
        <f t="shared" si="6"/>
        <v>0.99448275862068969</v>
      </c>
    </row>
    <row r="30" spans="1:20" x14ac:dyDescent="0.2">
      <c r="A30" s="49">
        <v>26</v>
      </c>
      <c r="B30" s="50">
        <f>EDATE(Assumptions!$C$5,A30-1)</f>
        <v>47027</v>
      </c>
      <c r="C30" s="49">
        <f t="shared" si="0"/>
        <v>3</v>
      </c>
      <c r="D30" s="51">
        <f>INDEX('Market Expansion'!$C$21:$C$56,A30)</f>
        <v>25000</v>
      </c>
      <c r="E30" s="52">
        <f>INDEX(Seasonality!$E$8:$E$19,MONTH(B30))</f>
        <v>1.5238095238095237</v>
      </c>
      <c r="F30" s="53">
        <f>Assumptions!$D$16*(1+Assumptions!$D$17)^((A30-1)/12)</f>
        <v>4.3861369125588384E-2</v>
      </c>
      <c r="G30" s="35">
        <f t="shared" si="1"/>
        <v>1670.9093000224143</v>
      </c>
      <c r="H30" s="35">
        <f>G30*Assumptions!$D$18</f>
        <v>835.45465001120715</v>
      </c>
      <c r="I30" s="35">
        <f>H30*Assumptions!$D$19</f>
        <v>167.09093000224144</v>
      </c>
      <c r="J30" s="35">
        <f>M29*Assumptions!$D$24</f>
        <v>8.2926417205969738</v>
      </c>
      <c r="K30" s="35">
        <f>M18*Assumptions!$D$25</f>
        <v>5.8213921219783629</v>
      </c>
      <c r="L30" s="35">
        <f t="shared" si="2"/>
        <v>181.20496384481677</v>
      </c>
      <c r="M30" s="54">
        <f>L30+M29*(1-Assumptions!$D$23)</f>
        <v>459.00846148481537</v>
      </c>
      <c r="N30" s="55">
        <f>IF(A30&gt;=Assumptions!$D$11,Assumptions!$D$12,Assumptions!$D$10)</f>
        <v>29</v>
      </c>
      <c r="O30" s="56">
        <f t="shared" si="3"/>
        <v>13311.245383059646</v>
      </c>
      <c r="P30" s="57">
        <f>Assumptions!$D$29</f>
        <v>10</v>
      </c>
      <c r="Q30" s="58">
        <f>Assumptions!$D$30</f>
        <v>1.6E-2</v>
      </c>
      <c r="R30" s="59">
        <f t="shared" si="4"/>
        <v>73.441353837570475</v>
      </c>
      <c r="S30" s="59">
        <f t="shared" si="5"/>
        <v>13237.804029222076</v>
      </c>
      <c r="T30" s="60">
        <f t="shared" si="6"/>
        <v>0.99448275862068969</v>
      </c>
    </row>
    <row r="31" spans="1:20" x14ac:dyDescent="0.2">
      <c r="A31" s="49">
        <v>27</v>
      </c>
      <c r="B31" s="50">
        <f>EDATE(Assumptions!$C$5,A31-1)</f>
        <v>47058</v>
      </c>
      <c r="C31" s="49">
        <f t="shared" si="0"/>
        <v>3</v>
      </c>
      <c r="D31" s="51">
        <f>INDEX('Market Expansion'!$C$21:$C$56,A31)</f>
        <v>25000</v>
      </c>
      <c r="E31" s="52">
        <f>INDEX(Seasonality!$E$8:$E$19,MONTH(B31))</f>
        <v>0.95238095238095233</v>
      </c>
      <c r="F31" s="53">
        <f>Assumptions!$D$16*(1+Assumptions!$D$17)^((A31-1)/12)</f>
        <v>4.4532863462294403E-2</v>
      </c>
      <c r="G31" s="35">
        <f t="shared" si="1"/>
        <v>1060.3062729117714</v>
      </c>
      <c r="H31" s="35">
        <f>G31*Assumptions!$D$18</f>
        <v>530.15313645588571</v>
      </c>
      <c r="I31" s="35">
        <f>H31*Assumptions!$D$19</f>
        <v>106.03062729117715</v>
      </c>
      <c r="J31" s="35">
        <f>M30*Assumptions!$D$24</f>
        <v>9.1801692296963076</v>
      </c>
      <c r="K31" s="35">
        <f>M19*Assumptions!$D$25</f>
        <v>5.4415056350084434</v>
      </c>
      <c r="L31" s="35">
        <f t="shared" si="2"/>
        <v>120.6523021558819</v>
      </c>
      <c r="M31" s="54">
        <f>L31+M30*(1-Assumptions!$D$23)</f>
        <v>428.18797135070815</v>
      </c>
      <c r="N31" s="55">
        <f>IF(A31&gt;=Assumptions!$D$11,Assumptions!$D$12,Assumptions!$D$10)</f>
        <v>29</v>
      </c>
      <c r="O31" s="56">
        <f t="shared" si="3"/>
        <v>12417.451169170536</v>
      </c>
      <c r="P31" s="57">
        <f>Assumptions!$D$29</f>
        <v>10</v>
      </c>
      <c r="Q31" s="58">
        <f>Assumptions!$D$30</f>
        <v>1.6E-2</v>
      </c>
      <c r="R31" s="59">
        <f t="shared" si="4"/>
        <v>68.51007541611331</v>
      </c>
      <c r="S31" s="59">
        <f t="shared" si="5"/>
        <v>12348.941093754422</v>
      </c>
      <c r="T31" s="60">
        <f t="shared" si="6"/>
        <v>0.99448275862068958</v>
      </c>
    </row>
    <row r="32" spans="1:20" x14ac:dyDescent="0.2">
      <c r="A32" s="49">
        <v>28</v>
      </c>
      <c r="B32" s="50">
        <f>EDATE(Assumptions!$C$5,A32-1)</f>
        <v>47088</v>
      </c>
      <c r="C32" s="49">
        <f t="shared" si="0"/>
        <v>3</v>
      </c>
      <c r="D32" s="51">
        <f>INDEX('Market Expansion'!$C$21:$C$56,A32)</f>
        <v>50000</v>
      </c>
      <c r="E32" s="52">
        <f>INDEX(Seasonality!$E$8:$E$19,MONTH(B32))</f>
        <v>0.5714285714285714</v>
      </c>
      <c r="F32" s="53">
        <f>Assumptions!$D$16*(1+Assumptions!$D$17)^((A32-1)/12)</f>
        <v>4.5214638021738959E-2</v>
      </c>
      <c r="G32" s="35">
        <f t="shared" si="1"/>
        <v>1291.8468006211131</v>
      </c>
      <c r="H32" s="35">
        <f>G32*Assumptions!$D$18</f>
        <v>645.92340031055653</v>
      </c>
      <c r="I32" s="35">
        <f>H32*Assumptions!$D$19</f>
        <v>129.18468006211131</v>
      </c>
      <c r="J32" s="35">
        <f>M31*Assumptions!$D$24</f>
        <v>8.5637594270141637</v>
      </c>
      <c r="K32" s="35">
        <f>M20*Assumptions!$D$25</f>
        <v>8.0706838345637379</v>
      </c>
      <c r="L32" s="35">
        <f t="shared" si="2"/>
        <v>145.81912332368921</v>
      </c>
      <c r="M32" s="54">
        <f>L32+M31*(1-Assumptions!$D$23)</f>
        <v>432.70506412866365</v>
      </c>
      <c r="N32" s="55">
        <f>IF(A32&gt;=Assumptions!$D$11,Assumptions!$D$12,Assumptions!$D$10)</f>
        <v>29</v>
      </c>
      <c r="O32" s="56">
        <f t="shared" si="3"/>
        <v>12548.446859731246</v>
      </c>
      <c r="P32" s="57">
        <f>Assumptions!$D$29</f>
        <v>10</v>
      </c>
      <c r="Q32" s="58">
        <f>Assumptions!$D$30</f>
        <v>1.6E-2</v>
      </c>
      <c r="R32" s="59">
        <f t="shared" si="4"/>
        <v>69.232810260586177</v>
      </c>
      <c r="S32" s="59">
        <f t="shared" si="5"/>
        <v>12479.21404947066</v>
      </c>
      <c r="T32" s="60">
        <f t="shared" si="6"/>
        <v>0.99448275862068969</v>
      </c>
    </row>
    <row r="33" spans="1:20" x14ac:dyDescent="0.2">
      <c r="A33" s="49">
        <v>29</v>
      </c>
      <c r="B33" s="50">
        <f>EDATE(Assumptions!$C$5,A33-1)</f>
        <v>47119</v>
      </c>
      <c r="C33" s="49">
        <f t="shared" si="0"/>
        <v>3</v>
      </c>
      <c r="D33" s="51">
        <f>INDEX('Market Expansion'!$C$21:$C$56,A33)</f>
        <v>50000</v>
      </c>
      <c r="E33" s="52">
        <f>INDEX(Seasonality!$E$8:$E$19,MONTH(B33))</f>
        <v>0.8571428571428571</v>
      </c>
      <c r="F33" s="53">
        <f>Assumptions!$D$16*(1+Assumptions!$D$17)^((A33-1)/12)</f>
        <v>4.5906850188688793E-2</v>
      </c>
      <c r="G33" s="35">
        <f t="shared" si="1"/>
        <v>1967.4364366580912</v>
      </c>
      <c r="H33" s="35">
        <f>G33*Assumptions!$D$18</f>
        <v>983.71821832904561</v>
      </c>
      <c r="I33" s="35">
        <f>H33*Assumptions!$D$19</f>
        <v>196.74364366580915</v>
      </c>
      <c r="J33" s="35">
        <f>M32*Assumptions!$D$24</f>
        <v>8.6541012825732739</v>
      </c>
      <c r="K33" s="35">
        <f>M21*Assumptions!$D$25</f>
        <v>12.13721433774513</v>
      </c>
      <c r="L33" s="35">
        <f t="shared" si="2"/>
        <v>217.53495928612753</v>
      </c>
      <c r="M33" s="54">
        <f>L33+M32*(1-Assumptions!$D$23)</f>
        <v>507.44735225233217</v>
      </c>
      <c r="N33" s="55">
        <f>IF(A33&gt;=Assumptions!$D$11,Assumptions!$D$12,Assumptions!$D$10)</f>
        <v>29</v>
      </c>
      <c r="O33" s="56">
        <f t="shared" si="3"/>
        <v>14715.973215317634</v>
      </c>
      <c r="P33" s="57">
        <f>Assumptions!$D$29</f>
        <v>10</v>
      </c>
      <c r="Q33" s="58">
        <f>Assumptions!$D$30</f>
        <v>1.6E-2</v>
      </c>
      <c r="R33" s="59">
        <f t="shared" si="4"/>
        <v>81.191576360373148</v>
      </c>
      <c r="S33" s="59">
        <f t="shared" si="5"/>
        <v>14634.78163895726</v>
      </c>
      <c r="T33" s="60">
        <f t="shared" si="6"/>
        <v>0.99448275862068958</v>
      </c>
    </row>
    <row r="34" spans="1:20" x14ac:dyDescent="0.2">
      <c r="A34" s="49">
        <v>30</v>
      </c>
      <c r="B34" s="50">
        <f>EDATE(Assumptions!$C$5,A34-1)</f>
        <v>47150</v>
      </c>
      <c r="C34" s="49">
        <f t="shared" si="0"/>
        <v>3</v>
      </c>
      <c r="D34" s="51">
        <f>INDEX('Market Expansion'!$C$21:$C$56,A34)</f>
        <v>50000</v>
      </c>
      <c r="E34" s="52">
        <f>INDEX(Seasonality!$E$8:$E$19,MONTH(B34))</f>
        <v>1.0476190476190477</v>
      </c>
      <c r="F34" s="53">
        <f>Assumptions!$D$16*(1+Assumptions!$D$17)^((A34-1)/12)</f>
        <v>4.6609659757388101E-2</v>
      </c>
      <c r="G34" s="35">
        <f t="shared" si="1"/>
        <v>2441.4583682441385</v>
      </c>
      <c r="H34" s="35">
        <f>G34*Assumptions!$D$18</f>
        <v>1220.7291841220692</v>
      </c>
      <c r="I34" s="35">
        <f>H34*Assumptions!$D$19</f>
        <v>244.14583682441386</v>
      </c>
      <c r="J34" s="35">
        <f>M33*Assumptions!$D$24</f>
        <v>10.148947045046643</v>
      </c>
      <c r="K34" s="35">
        <f>M22*Assumptions!$D$25</f>
        <v>16.524334339385106</v>
      </c>
      <c r="L34" s="35">
        <f t="shared" si="2"/>
        <v>270.81911820884562</v>
      </c>
      <c r="M34" s="54">
        <f>L34+M33*(1-Assumptions!$D$23)</f>
        <v>610.80884421790813</v>
      </c>
      <c r="N34" s="55">
        <f>IF(A34&gt;=Assumptions!$D$11,Assumptions!$D$12,Assumptions!$D$10)</f>
        <v>29</v>
      </c>
      <c r="O34" s="56">
        <f t="shared" si="3"/>
        <v>17713.456482319336</v>
      </c>
      <c r="P34" s="57">
        <f>Assumptions!$D$29</f>
        <v>10</v>
      </c>
      <c r="Q34" s="58">
        <f>Assumptions!$D$30</f>
        <v>1.6E-2</v>
      </c>
      <c r="R34" s="59">
        <f t="shared" si="4"/>
        <v>97.729415074865301</v>
      </c>
      <c r="S34" s="59">
        <f t="shared" si="5"/>
        <v>17615.727067244472</v>
      </c>
      <c r="T34" s="60">
        <f t="shared" si="6"/>
        <v>0.99448275862068969</v>
      </c>
    </row>
    <row r="35" spans="1:20" x14ac:dyDescent="0.2">
      <c r="A35" s="49">
        <v>31</v>
      </c>
      <c r="B35" s="50">
        <f>EDATE(Assumptions!$C$5,A35-1)</f>
        <v>47178</v>
      </c>
      <c r="C35" s="49">
        <f t="shared" si="0"/>
        <v>3</v>
      </c>
      <c r="D35" s="51">
        <f>INDEX('Market Expansion'!$C$21:$C$56,A35)</f>
        <v>50000</v>
      </c>
      <c r="E35" s="52">
        <f>INDEX(Seasonality!$E$8:$E$19,MONTH(B35))</f>
        <v>1.1428571428571428</v>
      </c>
      <c r="F35" s="53">
        <f>Assumptions!$D$16*(1+Assumptions!$D$17)^((A35-1)/12)</f>
        <v>4.7323228968446346E-2</v>
      </c>
      <c r="G35" s="35">
        <f t="shared" si="1"/>
        <v>2704.1845124826482</v>
      </c>
      <c r="H35" s="35">
        <f>G35*Assumptions!$D$18</f>
        <v>1352.0922562413241</v>
      </c>
      <c r="I35" s="35">
        <f>H35*Assumptions!$D$19</f>
        <v>270.41845124826483</v>
      </c>
      <c r="J35" s="35">
        <f>M34*Assumptions!$D$24</f>
        <v>12.216176884358163</v>
      </c>
      <c r="K35" s="35">
        <f>M23*Assumptions!$D$25</f>
        <v>20.543833748464191</v>
      </c>
      <c r="L35" s="35">
        <f t="shared" si="2"/>
        <v>303.17846188108717</v>
      </c>
      <c r="M35" s="54">
        <f>L35+M34*(1-Assumptions!$D$23)</f>
        <v>712.42038750708559</v>
      </c>
      <c r="N35" s="55">
        <f>IF(A35&gt;=Assumptions!$D$11,Assumptions!$D$12,Assumptions!$D$10)</f>
        <v>29</v>
      </c>
      <c r="O35" s="56">
        <f t="shared" si="3"/>
        <v>20660.191237705483</v>
      </c>
      <c r="P35" s="57">
        <f>Assumptions!$D$29</f>
        <v>10</v>
      </c>
      <c r="Q35" s="58">
        <f>Assumptions!$D$30</f>
        <v>1.6E-2</v>
      </c>
      <c r="R35" s="59">
        <f t="shared" si="4"/>
        <v>113.9872620011337</v>
      </c>
      <c r="S35" s="59">
        <f t="shared" si="5"/>
        <v>20546.203975704349</v>
      </c>
      <c r="T35" s="60">
        <f t="shared" si="6"/>
        <v>0.99448275862068969</v>
      </c>
    </row>
    <row r="36" spans="1:20" x14ac:dyDescent="0.2">
      <c r="A36" s="49">
        <v>32</v>
      </c>
      <c r="B36" s="50">
        <f>EDATE(Assumptions!$C$5,A36-1)</f>
        <v>47209</v>
      </c>
      <c r="C36" s="49">
        <f t="shared" si="0"/>
        <v>3</v>
      </c>
      <c r="D36" s="51">
        <f>INDEX('Market Expansion'!$C$21:$C$56,A36)</f>
        <v>50000</v>
      </c>
      <c r="E36" s="52">
        <f>INDEX(Seasonality!$E$8:$E$19,MONTH(B36))</f>
        <v>0.76190476190476186</v>
      </c>
      <c r="F36" s="53">
        <f>Assumptions!$D$16*(1+Assumptions!$D$17)^((A36-1)/12)</f>
        <v>4.8047722546290798E-2</v>
      </c>
      <c r="G36" s="35">
        <f t="shared" si="1"/>
        <v>1830.3894303348875</v>
      </c>
      <c r="H36" s="35">
        <f>G36*Assumptions!$D$18</f>
        <v>915.19471516744375</v>
      </c>
      <c r="I36" s="35">
        <f>H36*Assumptions!$D$19</f>
        <v>183.03894303348875</v>
      </c>
      <c r="J36" s="35">
        <f>M35*Assumptions!$D$24</f>
        <v>14.248407750141713</v>
      </c>
      <c r="K36" s="35">
        <f>M24*Assumptions!$D$25</f>
        <v>20.446279357653754</v>
      </c>
      <c r="L36" s="35">
        <f t="shared" si="2"/>
        <v>217.73363014128424</v>
      </c>
      <c r="M36" s="54">
        <f>L36+M35*(1-Assumptions!$D$23)</f>
        <v>695.05528977103154</v>
      </c>
      <c r="N36" s="55">
        <f>IF(A36&gt;=Assumptions!$D$11,Assumptions!$D$12,Assumptions!$D$10)</f>
        <v>29</v>
      </c>
      <c r="O36" s="56">
        <f t="shared" si="3"/>
        <v>20156.603403359914</v>
      </c>
      <c r="P36" s="57">
        <f>Assumptions!$D$29</f>
        <v>10</v>
      </c>
      <c r="Q36" s="58">
        <f>Assumptions!$D$30</f>
        <v>1.6E-2</v>
      </c>
      <c r="R36" s="59">
        <f t="shared" si="4"/>
        <v>111.20884636336504</v>
      </c>
      <c r="S36" s="59">
        <f t="shared" si="5"/>
        <v>20045.394556996547</v>
      </c>
      <c r="T36" s="60">
        <f t="shared" si="6"/>
        <v>0.99448275862068958</v>
      </c>
    </row>
    <row r="37" spans="1:20" x14ac:dyDescent="0.2">
      <c r="A37" s="49">
        <v>33</v>
      </c>
      <c r="B37" s="50">
        <f>EDATE(Assumptions!$C$5,A37-1)</f>
        <v>47239</v>
      </c>
      <c r="C37" s="49">
        <f t="shared" si="0"/>
        <v>3</v>
      </c>
      <c r="D37" s="51">
        <f>INDEX('Market Expansion'!$C$21:$C$56,A37)</f>
        <v>50000</v>
      </c>
      <c r="E37" s="52">
        <f>INDEX(Seasonality!$E$8:$E$19,MONTH(B37))</f>
        <v>0.47619047619047616</v>
      </c>
      <c r="F37" s="53">
        <f>Assumptions!$D$16*(1+Assumptions!$D$17)^((A37-1)/12)</f>
        <v>4.8783307737192506E-2</v>
      </c>
      <c r="G37" s="35">
        <f t="shared" si="1"/>
        <v>1161.507327076012</v>
      </c>
      <c r="H37" s="35">
        <f>G37*Assumptions!$D$18</f>
        <v>580.75366353800598</v>
      </c>
      <c r="I37" s="35">
        <f>H37*Assumptions!$D$19</f>
        <v>116.15073270760121</v>
      </c>
      <c r="J37" s="35">
        <f>M36*Assumptions!$D$24</f>
        <v>13.901105795420632</v>
      </c>
      <c r="K37" s="35">
        <f>M25*Assumptions!$D$25</f>
        <v>18.148364214271552</v>
      </c>
      <c r="L37" s="35">
        <f t="shared" si="2"/>
        <v>148.20020271729339</v>
      </c>
      <c r="M37" s="54">
        <f>L37+M36*(1-Assumptions!$D$23)</f>
        <v>613.88724686388446</v>
      </c>
      <c r="N37" s="55">
        <f>IF(A37&gt;=Assumptions!$D$11,Assumptions!$D$12,Assumptions!$D$10)</f>
        <v>29</v>
      </c>
      <c r="O37" s="56">
        <f t="shared" si="3"/>
        <v>17802.730159052648</v>
      </c>
      <c r="P37" s="57">
        <f>Assumptions!$D$29</f>
        <v>10</v>
      </c>
      <c r="Q37" s="58">
        <f>Assumptions!$D$30</f>
        <v>1.6E-2</v>
      </c>
      <c r="R37" s="59">
        <f t="shared" si="4"/>
        <v>98.221959498221523</v>
      </c>
      <c r="S37" s="59">
        <f t="shared" si="5"/>
        <v>17704.508199554428</v>
      </c>
      <c r="T37" s="60">
        <f t="shared" si="6"/>
        <v>0.9944827586206898</v>
      </c>
    </row>
    <row r="38" spans="1:20" x14ac:dyDescent="0.2">
      <c r="A38" s="49">
        <v>34</v>
      </c>
      <c r="B38" s="50">
        <f>EDATE(Assumptions!$C$5,A38-1)</f>
        <v>47270</v>
      </c>
      <c r="C38" s="49">
        <f t="shared" si="0"/>
        <v>3</v>
      </c>
      <c r="D38" s="51">
        <f>INDEX('Market Expansion'!$C$21:$C$56,A38)</f>
        <v>50000</v>
      </c>
      <c r="E38" s="52">
        <f>INDEX(Seasonality!$E$8:$E$19,MONTH(B38))</f>
        <v>0.66666666666666663</v>
      </c>
      <c r="F38" s="53">
        <f>Assumptions!$D$16*(1+Assumptions!$D$17)^((A38-1)/12)</f>
        <v>4.9530154347874368E-2</v>
      </c>
      <c r="G38" s="35">
        <f t="shared" si="1"/>
        <v>1651.0051449291454</v>
      </c>
      <c r="H38" s="35">
        <f>G38*Assumptions!$D$18</f>
        <v>825.50257246457272</v>
      </c>
      <c r="I38" s="35">
        <f>H38*Assumptions!$D$19</f>
        <v>165.10051449291456</v>
      </c>
      <c r="J38" s="35">
        <f>M37*Assumptions!$D$24</f>
        <v>12.277744937277689</v>
      </c>
      <c r="K38" s="35">
        <f>M26*Assumptions!$D$25</f>
        <v>18.215530650779414</v>
      </c>
      <c r="L38" s="35">
        <f t="shared" si="2"/>
        <v>195.59379008097167</v>
      </c>
      <c r="M38" s="54">
        <f>L38+M37*(1-Assumptions!$D$23)</f>
        <v>606.89824547977423</v>
      </c>
      <c r="N38" s="55">
        <f>IF(A38&gt;=Assumptions!$D$11,Assumptions!$D$12,Assumptions!$D$10)</f>
        <v>29</v>
      </c>
      <c r="O38" s="56">
        <f t="shared" si="3"/>
        <v>17600.049118913452</v>
      </c>
      <c r="P38" s="57">
        <f>Assumptions!$D$29</f>
        <v>10</v>
      </c>
      <c r="Q38" s="58">
        <f>Assumptions!$D$30</f>
        <v>1.6E-2</v>
      </c>
      <c r="R38" s="59">
        <f t="shared" si="4"/>
        <v>97.103719276763883</v>
      </c>
      <c r="S38" s="59">
        <f t="shared" si="5"/>
        <v>17502.945399636686</v>
      </c>
      <c r="T38" s="60">
        <f t="shared" si="6"/>
        <v>0.99448275862068958</v>
      </c>
    </row>
    <row r="39" spans="1:20" x14ac:dyDescent="0.2">
      <c r="A39" s="49">
        <v>35</v>
      </c>
      <c r="B39" s="50">
        <f>EDATE(Assumptions!$C$5,A39-1)</f>
        <v>47300</v>
      </c>
      <c r="C39" s="49">
        <f t="shared" si="0"/>
        <v>3</v>
      </c>
      <c r="D39" s="51">
        <f>INDEX('Market Expansion'!$C$21:$C$56,A39)</f>
        <v>50000</v>
      </c>
      <c r="E39" s="52">
        <f>INDEX(Seasonality!$E$8:$E$19,MONTH(B39))</f>
        <v>0.95238095238095233</v>
      </c>
      <c r="F39" s="53">
        <f>Assumptions!$D$16*(1+Assumptions!$D$17)^((A39-1)/12)</f>
        <v>5.028843478471029E-2</v>
      </c>
      <c r="G39" s="35">
        <f t="shared" si="1"/>
        <v>2394.6873707004897</v>
      </c>
      <c r="H39" s="35">
        <f>G39*Assumptions!$D$18</f>
        <v>1197.3436853502449</v>
      </c>
      <c r="I39" s="35">
        <f>H39*Assumptions!$D$19</f>
        <v>239.46873707004897</v>
      </c>
      <c r="J39" s="35">
        <f>M38*Assumptions!$D$24</f>
        <v>12.137964909595485</v>
      </c>
      <c r="K39" s="35">
        <f>M27*Assumptions!$D$25</f>
        <v>20.788406047801079</v>
      </c>
      <c r="L39" s="35">
        <f t="shared" si="2"/>
        <v>272.39510802744553</v>
      </c>
      <c r="M39" s="54">
        <f>L39+M38*(1-Assumptions!$D$23)</f>
        <v>679.01693249889422</v>
      </c>
      <c r="N39" s="55">
        <f>IF(A39&gt;=Assumptions!$D$11,Assumptions!$D$12,Assumptions!$D$10)</f>
        <v>29</v>
      </c>
      <c r="O39" s="56">
        <f t="shared" si="3"/>
        <v>19691.491042467933</v>
      </c>
      <c r="P39" s="57">
        <f>Assumptions!$D$29</f>
        <v>10</v>
      </c>
      <c r="Q39" s="58">
        <f>Assumptions!$D$30</f>
        <v>1.6E-2</v>
      </c>
      <c r="R39" s="59">
        <f t="shared" si="4"/>
        <v>108.64270919982307</v>
      </c>
      <c r="S39" s="59">
        <f t="shared" si="5"/>
        <v>19582.84833326811</v>
      </c>
      <c r="T39" s="60">
        <f t="shared" si="6"/>
        <v>0.99448275862068969</v>
      </c>
    </row>
    <row r="40" spans="1:20" x14ac:dyDescent="0.2">
      <c r="A40" s="49">
        <v>36</v>
      </c>
      <c r="B40" s="50">
        <f>EDATE(Assumptions!$C$5,A40-1)</f>
        <v>47331</v>
      </c>
      <c r="C40" s="49">
        <f t="shared" si="0"/>
        <v>3</v>
      </c>
      <c r="D40" s="51">
        <f>INDEX('Market Expansion'!$C$21:$C$56,A40)</f>
        <v>50000</v>
      </c>
      <c r="E40" s="52">
        <f>INDEX(Seasonality!$E$8:$E$19,MONTH(B40))</f>
        <v>1.3333333333333333</v>
      </c>
      <c r="F40" s="53">
        <f>Assumptions!$D$16*(1+Assumptions!$D$17)^((A40-1)/12)</f>
        <v>5.1058324093524461E-2</v>
      </c>
      <c r="G40" s="35">
        <f t="shared" si="1"/>
        <v>3403.8882729016304</v>
      </c>
      <c r="H40" s="35">
        <f>G40*Assumptions!$D$18</f>
        <v>1701.9441364508152</v>
      </c>
      <c r="I40" s="35">
        <f>H40*Assumptions!$D$19</f>
        <v>340.38882729016308</v>
      </c>
      <c r="J40" s="35">
        <f>M39*Assumptions!$D$24</f>
        <v>13.580338649977884</v>
      </c>
      <c r="K40" s="35">
        <f>M28*Assumptions!$D$25</f>
        <v>26.005383416763788</v>
      </c>
      <c r="L40" s="35">
        <f t="shared" si="2"/>
        <v>379.97454935690473</v>
      </c>
      <c r="M40" s="54">
        <f>L40+M39*(1-Assumptions!$D$23)</f>
        <v>834.9158941311639</v>
      </c>
      <c r="N40" s="55">
        <f>IF(A40&gt;=Assumptions!$D$11,Assumptions!$D$12,Assumptions!$D$10)</f>
        <v>29</v>
      </c>
      <c r="O40" s="56">
        <f t="shared" si="3"/>
        <v>24212.560929803753</v>
      </c>
      <c r="P40" s="57">
        <f>Assumptions!$D$29</f>
        <v>10</v>
      </c>
      <c r="Q40" s="58">
        <f>Assumptions!$D$30</f>
        <v>1.6E-2</v>
      </c>
      <c r="R40" s="59">
        <f t="shared" si="4"/>
        <v>133.5865430609862</v>
      </c>
      <c r="S40" s="59">
        <f t="shared" si="5"/>
        <v>24078.974386742768</v>
      </c>
      <c r="T40" s="60">
        <f t="shared" si="6"/>
        <v>0.99448275862068969</v>
      </c>
    </row>
  </sheetData>
  <mergeCells count="2">
    <mergeCell ref="A1:T1"/>
    <mergeCell ref="A2:T2"/>
  </mergeCells>
  <pageMargins left="0.4" right="0.4" top="0.5" bottom="0.5" header="0.511811023622047" footer="0.511811023622047"/>
  <pageSetup fitToHeight="0"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40"/>
  <sheetViews>
    <sheetView showGridLines="0" zoomScaleNormal="100" workbookViewId="0">
      <pane ySplit="5" topLeftCell="A6" activePane="bottomLeft" state="frozen"/>
      <selection pane="bottomLeft" sqref="A1:T1"/>
    </sheetView>
  </sheetViews>
  <sheetFormatPr baseColWidth="10" defaultColWidth="8.6640625" defaultRowHeight="15" x14ac:dyDescent="0.2"/>
  <cols>
    <col min="1" max="1" width="8" customWidth="1"/>
    <col min="2" max="2" width="11" customWidth="1"/>
    <col min="3" max="3" width="6" customWidth="1"/>
    <col min="4" max="5" width="11" customWidth="1"/>
    <col min="6" max="6" width="12" customWidth="1"/>
    <col min="7" max="8" width="10" customWidth="1"/>
    <col min="9" max="9" width="11" customWidth="1"/>
    <col min="10" max="11" width="10" customWidth="1"/>
    <col min="12" max="12" width="12" customWidth="1"/>
    <col min="13" max="13" width="11" customWidth="1"/>
    <col min="14" max="14" width="10" customWidth="1"/>
    <col min="15" max="15" width="12" customWidth="1"/>
    <col min="16" max="17" width="9" customWidth="1"/>
    <col min="18" max="20" width="11" customWidth="1"/>
  </cols>
  <sheetData>
    <row r="1" spans="1:20" ht="25.5" customHeight="1" x14ac:dyDescent="0.2">
      <c r="A1" s="13" t="s">
        <v>200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ht="15.75" customHeight="1" x14ac:dyDescent="0.2">
      <c r="A2" s="12" t="s">
        <v>180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4" spans="1:20" ht="33.75" customHeight="1" x14ac:dyDescent="0.2">
      <c r="A4" s="27" t="s">
        <v>85</v>
      </c>
      <c r="B4" s="27" t="s">
        <v>86</v>
      </c>
      <c r="C4" s="27" t="s">
        <v>181</v>
      </c>
      <c r="D4" s="27" t="s">
        <v>182</v>
      </c>
      <c r="E4" s="27" t="s">
        <v>183</v>
      </c>
      <c r="F4" s="27" t="s">
        <v>184</v>
      </c>
      <c r="G4" s="27" t="s">
        <v>185</v>
      </c>
      <c r="H4" s="27" t="s">
        <v>186</v>
      </c>
      <c r="I4" s="27" t="s">
        <v>187</v>
      </c>
      <c r="J4" s="27" t="s">
        <v>188</v>
      </c>
      <c r="K4" s="27" t="s">
        <v>189</v>
      </c>
      <c r="L4" s="27" t="s">
        <v>190</v>
      </c>
      <c r="M4" s="27" t="s">
        <v>191</v>
      </c>
      <c r="N4" s="27" t="s">
        <v>192</v>
      </c>
      <c r="O4" s="27" t="s">
        <v>193</v>
      </c>
      <c r="P4" s="27" t="s">
        <v>194</v>
      </c>
      <c r="Q4" s="27" t="s">
        <v>195</v>
      </c>
      <c r="R4" s="27" t="s">
        <v>196</v>
      </c>
      <c r="S4" s="27" t="s">
        <v>197</v>
      </c>
      <c r="T4" s="27" t="s">
        <v>198</v>
      </c>
    </row>
    <row r="5" spans="1:20" x14ac:dyDescent="0.2">
      <c r="A5" s="49">
        <v>1</v>
      </c>
      <c r="B5" s="50">
        <f>EDATE(Assumptions!$C$5,A5-1)</f>
        <v>46266</v>
      </c>
      <c r="C5" s="49">
        <f t="shared" ref="C5:C40" si="0">ROUNDUP(A5/12,0)</f>
        <v>1</v>
      </c>
      <c r="D5" s="51">
        <f>INDEX('Market Expansion'!$D$21:$D$56,A5)</f>
        <v>200</v>
      </c>
      <c r="E5" s="52">
        <f>INDEX(Seasonality!$E$8:$E$19,MONTH(B5))</f>
        <v>1.7142857142857142</v>
      </c>
      <c r="F5" s="53">
        <f>Assumptions!$E$16*(1+Assumptions!$E$17)^((A5-1)/12)</f>
        <v>3.5000000000000003E-2</v>
      </c>
      <c r="G5" s="35">
        <f t="shared" ref="G5:G40" si="1">D5*F5*E5</f>
        <v>12</v>
      </c>
      <c r="H5" s="35">
        <f>G5*Assumptions!$E$18</f>
        <v>6.6000000000000005</v>
      </c>
      <c r="I5" s="35">
        <f>H5*Assumptions!$E$19</f>
        <v>1.6500000000000001</v>
      </c>
      <c r="J5" s="35">
        <v>0</v>
      </c>
      <c r="K5" s="35">
        <v>0</v>
      </c>
      <c r="L5" s="35">
        <f t="shared" ref="L5:L40" si="2">I5+J5+K5</f>
        <v>1.6500000000000001</v>
      </c>
      <c r="M5" s="54">
        <f>L5</f>
        <v>1.6500000000000001</v>
      </c>
      <c r="N5" s="55">
        <f>IF(A5&gt;=Assumptions!$E$11,Assumptions!$E$12,Assumptions!$E$10)</f>
        <v>29</v>
      </c>
      <c r="O5" s="56">
        <f t="shared" ref="O5:O40" si="3">M5*N5</f>
        <v>47.85</v>
      </c>
      <c r="P5" s="57">
        <f>Assumptions!$E$29</f>
        <v>14</v>
      </c>
      <c r="Q5" s="58">
        <f>Assumptions!$E$30</f>
        <v>1.6E-2</v>
      </c>
      <c r="R5" s="59">
        <f t="shared" ref="R5:R40" si="4">M5*P5*Q5</f>
        <v>0.36960000000000004</v>
      </c>
      <c r="S5" s="59">
        <f t="shared" ref="S5:S40" si="5">O5-R5</f>
        <v>47.480400000000003</v>
      </c>
      <c r="T5" s="60">
        <f t="shared" ref="T5:T40" si="6">IF(O5=0,0,S5/O5)</f>
        <v>0.99227586206896556</v>
      </c>
    </row>
    <row r="6" spans="1:20" x14ac:dyDescent="0.2">
      <c r="A6" s="49">
        <v>2</v>
      </c>
      <c r="B6" s="50">
        <f>EDATE(Assumptions!$C$5,A6-1)</f>
        <v>46296</v>
      </c>
      <c r="C6" s="49">
        <f t="shared" si="0"/>
        <v>1</v>
      </c>
      <c r="D6" s="51">
        <f>INDEX('Market Expansion'!$D$21:$D$56,A6)</f>
        <v>200</v>
      </c>
      <c r="E6" s="52">
        <f>INDEX(Seasonality!$E$8:$E$19,MONTH(B6))</f>
        <v>1.5238095238095237</v>
      </c>
      <c r="F6" s="53">
        <f>Assumptions!$E$16*(1+Assumptions!$E$17)^((A6-1)/12)</f>
        <v>3.5773655770776562E-2</v>
      </c>
      <c r="G6" s="35">
        <f t="shared" si="1"/>
        <v>10.902447472998571</v>
      </c>
      <c r="H6" s="35">
        <f>G6*Assumptions!$E$18</f>
        <v>5.9963461101492141</v>
      </c>
      <c r="I6" s="35">
        <f>H6*Assumptions!$E$19</f>
        <v>1.4990865275373035</v>
      </c>
      <c r="J6" s="35">
        <f>M5*Assumptions!$E$24</f>
        <v>4.9500000000000002E-2</v>
      </c>
      <c r="K6" s="35">
        <v>0</v>
      </c>
      <c r="L6" s="35">
        <f t="shared" si="2"/>
        <v>1.5485865275373036</v>
      </c>
      <c r="M6" s="54">
        <f>L6+M5*(1-Assumptions!$E$23)</f>
        <v>2.7035865275373037</v>
      </c>
      <c r="N6" s="55">
        <f>IF(A6&gt;=Assumptions!$E$11,Assumptions!$E$12,Assumptions!$E$10)</f>
        <v>29</v>
      </c>
      <c r="O6" s="56">
        <f t="shared" si="3"/>
        <v>78.404009298581812</v>
      </c>
      <c r="P6" s="57">
        <f>Assumptions!$E$29</f>
        <v>14</v>
      </c>
      <c r="Q6" s="58">
        <f>Assumptions!$E$30</f>
        <v>1.6E-2</v>
      </c>
      <c r="R6" s="59">
        <f t="shared" si="4"/>
        <v>0.60560338216835596</v>
      </c>
      <c r="S6" s="59">
        <f t="shared" si="5"/>
        <v>77.798405916413458</v>
      </c>
      <c r="T6" s="60">
        <f t="shared" si="6"/>
        <v>0.99227586206896556</v>
      </c>
    </row>
    <row r="7" spans="1:20" x14ac:dyDescent="0.2">
      <c r="A7" s="49">
        <v>3</v>
      </c>
      <c r="B7" s="50">
        <f>EDATE(Assumptions!$C$5,A7-1)</f>
        <v>46327</v>
      </c>
      <c r="C7" s="49">
        <f t="shared" si="0"/>
        <v>1</v>
      </c>
      <c r="D7" s="51">
        <f>INDEX('Market Expansion'!$D$21:$D$56,A7)</f>
        <v>200</v>
      </c>
      <c r="E7" s="52">
        <f>INDEX(Seasonality!$E$8:$E$19,MONTH(B7))</f>
        <v>0.95238095238095233</v>
      </c>
      <c r="F7" s="53">
        <f>Assumptions!$E$16*(1+Assumptions!$E$17)^((A7-1)/12)</f>
        <v>3.6564412777314703E-2</v>
      </c>
      <c r="G7" s="35">
        <f t="shared" si="1"/>
        <v>6.964650052821848</v>
      </c>
      <c r="H7" s="35">
        <f>G7*Assumptions!$E$18</f>
        <v>3.8305575290520166</v>
      </c>
      <c r="I7" s="35">
        <f>H7*Assumptions!$E$19</f>
        <v>0.95763938226300416</v>
      </c>
      <c r="J7" s="35">
        <f>M6*Assumptions!$E$24</f>
        <v>8.1107595826119108E-2</v>
      </c>
      <c r="K7" s="35">
        <v>0</v>
      </c>
      <c r="L7" s="35">
        <f t="shared" si="2"/>
        <v>1.0387469780891232</v>
      </c>
      <c r="M7" s="54">
        <f>L7+M6*(1-Assumptions!$E$23)</f>
        <v>2.9312575473652354</v>
      </c>
      <c r="N7" s="55">
        <f>IF(A7&gt;=Assumptions!$E$11,Assumptions!$E$12,Assumptions!$E$10)</f>
        <v>29</v>
      </c>
      <c r="O7" s="56">
        <f t="shared" si="3"/>
        <v>85.006468873591828</v>
      </c>
      <c r="P7" s="57">
        <f>Assumptions!$E$29</f>
        <v>14</v>
      </c>
      <c r="Q7" s="58">
        <f>Assumptions!$E$30</f>
        <v>1.6E-2</v>
      </c>
      <c r="R7" s="59">
        <f t="shared" si="4"/>
        <v>0.65660169060981277</v>
      </c>
      <c r="S7" s="59">
        <f t="shared" si="5"/>
        <v>84.34986718298201</v>
      </c>
      <c r="T7" s="60">
        <f t="shared" si="6"/>
        <v>0.99227586206896545</v>
      </c>
    </row>
    <row r="8" spans="1:20" x14ac:dyDescent="0.2">
      <c r="A8" s="49">
        <v>4</v>
      </c>
      <c r="B8" s="50">
        <f>EDATE(Assumptions!$C$5,A8-1)</f>
        <v>46357</v>
      </c>
      <c r="C8" s="49">
        <f t="shared" si="0"/>
        <v>1</v>
      </c>
      <c r="D8" s="51">
        <f>INDEX('Market Expansion'!$D$21:$D$56,A8)</f>
        <v>5000</v>
      </c>
      <c r="E8" s="52">
        <f>INDEX(Seasonality!$E$8:$E$19,MONTH(B8))</f>
        <v>0.5714285714285714</v>
      </c>
      <c r="F8" s="53">
        <f>Assumptions!$E$16*(1+Assumptions!$E$17)^((A8-1)/12)</f>
        <v>3.7372649033035436E-2</v>
      </c>
      <c r="G8" s="35">
        <f t="shared" si="1"/>
        <v>106.7789972372441</v>
      </c>
      <c r="H8" s="35">
        <f>G8*Assumptions!$E$18</f>
        <v>58.728448480484261</v>
      </c>
      <c r="I8" s="35">
        <f>H8*Assumptions!$E$19</f>
        <v>14.682112120121065</v>
      </c>
      <c r="J8" s="35">
        <f>M7*Assumptions!$E$24</f>
        <v>8.7937726420957055E-2</v>
      </c>
      <c r="K8" s="35">
        <v>0</v>
      </c>
      <c r="L8" s="35">
        <f t="shared" si="2"/>
        <v>14.770049846542022</v>
      </c>
      <c r="M8" s="54">
        <f>L8+M7*(1-Assumptions!$E$23)</f>
        <v>16.821930129697687</v>
      </c>
      <c r="N8" s="55">
        <f>IF(A8&gt;=Assumptions!$E$11,Assumptions!$E$12,Assumptions!$E$10)</f>
        <v>29</v>
      </c>
      <c r="O8" s="56">
        <f t="shared" si="3"/>
        <v>487.83597376123294</v>
      </c>
      <c r="P8" s="57">
        <f>Assumptions!$E$29</f>
        <v>14</v>
      </c>
      <c r="Q8" s="58">
        <f>Assumptions!$E$30</f>
        <v>1.6E-2</v>
      </c>
      <c r="R8" s="59">
        <f t="shared" si="4"/>
        <v>3.7681123490522821</v>
      </c>
      <c r="S8" s="59">
        <f t="shared" si="5"/>
        <v>484.06786141218066</v>
      </c>
      <c r="T8" s="60">
        <f t="shared" si="6"/>
        <v>0.99227586206896556</v>
      </c>
    </row>
    <row r="9" spans="1:20" x14ac:dyDescent="0.2">
      <c r="A9" s="49">
        <v>5</v>
      </c>
      <c r="B9" s="50">
        <f>EDATE(Assumptions!$C$5,A9-1)</f>
        <v>46388</v>
      </c>
      <c r="C9" s="49">
        <f t="shared" si="0"/>
        <v>1</v>
      </c>
      <c r="D9" s="51">
        <f>INDEX('Market Expansion'!$D$21:$D$56,A9)</f>
        <v>5000</v>
      </c>
      <c r="E9" s="52">
        <f>INDEX(Seasonality!$E$8:$E$19,MONTH(B9))</f>
        <v>0.8571428571428571</v>
      </c>
      <c r="F9" s="53">
        <f>Assumptions!$E$16*(1+Assumptions!$E$17)^((A9-1)/12)</f>
        <v>3.8198750907138708E-2</v>
      </c>
      <c r="G9" s="35">
        <f t="shared" si="1"/>
        <v>163.70893245916588</v>
      </c>
      <c r="H9" s="35">
        <f>G9*Assumptions!$E$18</f>
        <v>90.039912852541235</v>
      </c>
      <c r="I9" s="35">
        <f>H9*Assumptions!$E$19</f>
        <v>22.509978213135309</v>
      </c>
      <c r="J9" s="35">
        <f>M8*Assumptions!$E$24</f>
        <v>0.50465790389093057</v>
      </c>
      <c r="K9" s="35">
        <v>0</v>
      </c>
      <c r="L9" s="35">
        <f t="shared" si="2"/>
        <v>23.014636117026239</v>
      </c>
      <c r="M9" s="54">
        <f>L9+M8*(1-Assumptions!$E$23)</f>
        <v>34.789987207814619</v>
      </c>
      <c r="N9" s="55">
        <f>IF(A9&gt;=Assumptions!$E$11,Assumptions!$E$12,Assumptions!$E$10)</f>
        <v>29</v>
      </c>
      <c r="O9" s="56">
        <f t="shared" si="3"/>
        <v>1008.909629026624</v>
      </c>
      <c r="P9" s="57">
        <f>Assumptions!$E$29</f>
        <v>14</v>
      </c>
      <c r="Q9" s="58">
        <f>Assumptions!$E$30</f>
        <v>1.6E-2</v>
      </c>
      <c r="R9" s="59">
        <f t="shared" si="4"/>
        <v>7.7929571345504751</v>
      </c>
      <c r="S9" s="59">
        <f t="shared" si="5"/>
        <v>1001.1166718920736</v>
      </c>
      <c r="T9" s="60">
        <f t="shared" si="6"/>
        <v>0.99227586206896556</v>
      </c>
    </row>
    <row r="10" spans="1:20" x14ac:dyDescent="0.2">
      <c r="A10" s="49">
        <v>6</v>
      </c>
      <c r="B10" s="50">
        <f>EDATE(Assumptions!$C$5,A10-1)</f>
        <v>46419</v>
      </c>
      <c r="C10" s="49">
        <f t="shared" si="0"/>
        <v>1</v>
      </c>
      <c r="D10" s="51">
        <f>INDEX('Market Expansion'!$D$21:$D$56,A10)</f>
        <v>5000</v>
      </c>
      <c r="E10" s="52">
        <f>INDEX(Seasonality!$E$8:$E$19,MONTH(B10))</f>
        <v>1.0476190476190477</v>
      </c>
      <c r="F10" s="53">
        <f>Assumptions!$E$16*(1+Assumptions!$E$17)^((A10-1)/12)</f>
        <v>3.9043113309303393E-2</v>
      </c>
      <c r="G10" s="35">
        <f t="shared" si="1"/>
        <v>204.51154590587493</v>
      </c>
      <c r="H10" s="35">
        <f>G10*Assumptions!$E$18</f>
        <v>112.48135024823122</v>
      </c>
      <c r="I10" s="35">
        <f>H10*Assumptions!$E$19</f>
        <v>28.120337562057806</v>
      </c>
      <c r="J10" s="35">
        <f>M9*Assumptions!$E$24</f>
        <v>1.0436996162344385</v>
      </c>
      <c r="K10" s="35">
        <v>0</v>
      </c>
      <c r="L10" s="35">
        <f t="shared" si="2"/>
        <v>29.164037178292244</v>
      </c>
      <c r="M10" s="54">
        <f>L10+M9*(1-Assumptions!$E$23)</f>
        <v>53.51702822376248</v>
      </c>
      <c r="N10" s="55">
        <f>IF(A10&gt;=Assumptions!$E$11,Assumptions!$E$12,Assumptions!$E$10)</f>
        <v>29</v>
      </c>
      <c r="O10" s="56">
        <f t="shared" si="3"/>
        <v>1551.9938184891118</v>
      </c>
      <c r="P10" s="57">
        <f>Assumptions!$E$29</f>
        <v>14</v>
      </c>
      <c r="Q10" s="58">
        <f>Assumptions!$E$30</f>
        <v>1.6E-2</v>
      </c>
      <c r="R10" s="59">
        <f t="shared" si="4"/>
        <v>11.987814322122794</v>
      </c>
      <c r="S10" s="59">
        <f t="shared" si="5"/>
        <v>1540.006004166989</v>
      </c>
      <c r="T10" s="60">
        <f t="shared" si="6"/>
        <v>0.99227586206896545</v>
      </c>
    </row>
    <row r="11" spans="1:20" x14ac:dyDescent="0.2">
      <c r="A11" s="49">
        <v>7</v>
      </c>
      <c r="B11" s="50">
        <f>EDATE(Assumptions!$C$5,A11-1)</f>
        <v>46447</v>
      </c>
      <c r="C11" s="49">
        <f t="shared" si="0"/>
        <v>1</v>
      </c>
      <c r="D11" s="51">
        <f>INDEX('Market Expansion'!$D$21:$D$56,A11)</f>
        <v>5000</v>
      </c>
      <c r="E11" s="52">
        <f>INDEX(Seasonality!$E$8:$E$19,MONTH(B11))</f>
        <v>1.1428571428571428</v>
      </c>
      <c r="F11" s="53">
        <f>Assumptions!$E$16*(1+Assumptions!$E$17)^((A11-1)/12)</f>
        <v>3.9906139878469839E-2</v>
      </c>
      <c r="G11" s="35">
        <f t="shared" si="1"/>
        <v>228.03508501982765</v>
      </c>
      <c r="H11" s="35">
        <f>G11*Assumptions!$E$18</f>
        <v>125.41929676090521</v>
      </c>
      <c r="I11" s="35">
        <f>H11*Assumptions!$E$19</f>
        <v>31.354824190226303</v>
      </c>
      <c r="J11" s="35">
        <f>M10*Assumptions!$E$24</f>
        <v>1.6055108467128743</v>
      </c>
      <c r="K11" s="35">
        <v>0</v>
      </c>
      <c r="L11" s="35">
        <f t="shared" si="2"/>
        <v>32.960335036939178</v>
      </c>
      <c r="M11" s="54">
        <f>L11+M10*(1-Assumptions!$E$23)</f>
        <v>70.422254793572904</v>
      </c>
      <c r="N11" s="55">
        <f>IF(A11&gt;=Assumptions!$E$11,Assumptions!$E$12,Assumptions!$E$10)</f>
        <v>29</v>
      </c>
      <c r="O11" s="56">
        <f t="shared" si="3"/>
        <v>2042.2453890136142</v>
      </c>
      <c r="P11" s="57">
        <f>Assumptions!$E$29</f>
        <v>14</v>
      </c>
      <c r="Q11" s="58">
        <f>Assumptions!$E$30</f>
        <v>1.6E-2</v>
      </c>
      <c r="R11" s="59">
        <f t="shared" si="4"/>
        <v>15.774585073760331</v>
      </c>
      <c r="S11" s="59">
        <f t="shared" si="5"/>
        <v>2026.4708039398538</v>
      </c>
      <c r="T11" s="60">
        <f t="shared" si="6"/>
        <v>0.99227586206896545</v>
      </c>
    </row>
    <row r="12" spans="1:20" x14ac:dyDescent="0.2">
      <c r="A12" s="49">
        <v>8</v>
      </c>
      <c r="B12" s="50">
        <f>EDATE(Assumptions!$C$5,A12-1)</f>
        <v>46478</v>
      </c>
      <c r="C12" s="49">
        <f t="shared" si="0"/>
        <v>1</v>
      </c>
      <c r="D12" s="51">
        <f>INDEX('Market Expansion'!$D$21:$D$56,A12)</f>
        <v>5000</v>
      </c>
      <c r="E12" s="52">
        <f>INDEX(Seasonality!$E$8:$E$19,MONTH(B12))</f>
        <v>0.76190476190476186</v>
      </c>
      <c r="F12" s="53">
        <f>Assumptions!$E$16*(1+Assumptions!$E$17)^((A12-1)/12)</f>
        <v>4.0788243175795394E-2</v>
      </c>
      <c r="G12" s="35">
        <f t="shared" si="1"/>
        <v>155.38378352683958</v>
      </c>
      <c r="H12" s="35">
        <f>G12*Assumptions!$E$18</f>
        <v>85.461080939761771</v>
      </c>
      <c r="I12" s="35">
        <f>H12*Assumptions!$E$19</f>
        <v>21.365270234940443</v>
      </c>
      <c r="J12" s="35">
        <f>M11*Assumptions!$E$24</f>
        <v>2.1126676438071872</v>
      </c>
      <c r="K12" s="35">
        <v>0</v>
      </c>
      <c r="L12" s="35">
        <f t="shared" si="2"/>
        <v>23.477937878747632</v>
      </c>
      <c r="M12" s="54">
        <f>L12+M11*(1-Assumptions!$E$23)</f>
        <v>72.77351623424866</v>
      </c>
      <c r="N12" s="55">
        <f>IF(A12&gt;=Assumptions!$E$11,Assumptions!$E$12,Assumptions!$E$10)</f>
        <v>29</v>
      </c>
      <c r="O12" s="56">
        <f t="shared" si="3"/>
        <v>2110.4319707932113</v>
      </c>
      <c r="P12" s="57">
        <f>Assumptions!$E$29</f>
        <v>14</v>
      </c>
      <c r="Q12" s="58">
        <f>Assumptions!$E$30</f>
        <v>1.6E-2</v>
      </c>
      <c r="R12" s="59">
        <f t="shared" si="4"/>
        <v>16.3012676364717</v>
      </c>
      <c r="S12" s="59">
        <f t="shared" si="5"/>
        <v>2094.1307031567399</v>
      </c>
      <c r="T12" s="60">
        <f t="shared" si="6"/>
        <v>0.99227586206896556</v>
      </c>
    </row>
    <row r="13" spans="1:20" x14ac:dyDescent="0.2">
      <c r="A13" s="49">
        <v>9</v>
      </c>
      <c r="B13" s="50">
        <f>EDATE(Assumptions!$C$5,A13-1)</f>
        <v>46508</v>
      </c>
      <c r="C13" s="49">
        <f t="shared" si="0"/>
        <v>1</v>
      </c>
      <c r="D13" s="51">
        <f>INDEX('Market Expansion'!$D$21:$D$56,A13)</f>
        <v>5000</v>
      </c>
      <c r="E13" s="52">
        <f>INDEX(Seasonality!$E$8:$E$19,MONTH(B13))</f>
        <v>0.47619047619047616</v>
      </c>
      <c r="F13" s="53">
        <f>Assumptions!$E$16*(1+Assumptions!$E$17)^((A13-1)/12)</f>
        <v>4.1689844881875146E-2</v>
      </c>
      <c r="G13" s="35">
        <f t="shared" si="1"/>
        <v>99.261535433036045</v>
      </c>
      <c r="H13" s="35">
        <f>G13*Assumptions!$E$18</f>
        <v>54.593844488169829</v>
      </c>
      <c r="I13" s="35">
        <f>H13*Assumptions!$E$19</f>
        <v>13.648461122042457</v>
      </c>
      <c r="J13" s="35">
        <f>M12*Assumptions!$E$24</f>
        <v>2.1832054870274598</v>
      </c>
      <c r="K13" s="35">
        <v>0</v>
      </c>
      <c r="L13" s="35">
        <f t="shared" si="2"/>
        <v>15.831666609069917</v>
      </c>
      <c r="M13" s="54">
        <f>L13+M12*(1-Assumptions!$E$23)</f>
        <v>66.77312797304397</v>
      </c>
      <c r="N13" s="55">
        <f>IF(A13&gt;=Assumptions!$E$11,Assumptions!$E$12,Assumptions!$E$10)</f>
        <v>29</v>
      </c>
      <c r="O13" s="56">
        <f t="shared" si="3"/>
        <v>1936.4207112182751</v>
      </c>
      <c r="P13" s="57">
        <f>Assumptions!$E$29</f>
        <v>14</v>
      </c>
      <c r="Q13" s="58">
        <f>Assumptions!$E$30</f>
        <v>1.6E-2</v>
      </c>
      <c r="R13" s="59">
        <f t="shared" si="4"/>
        <v>14.957180665961848</v>
      </c>
      <c r="S13" s="59">
        <f t="shared" si="5"/>
        <v>1921.4635305523132</v>
      </c>
      <c r="T13" s="60">
        <f t="shared" si="6"/>
        <v>0.99227586206896545</v>
      </c>
    </row>
    <row r="14" spans="1:20" x14ac:dyDescent="0.2">
      <c r="A14" s="49">
        <v>10</v>
      </c>
      <c r="B14" s="50">
        <f>EDATE(Assumptions!$C$5,A14-1)</f>
        <v>46539</v>
      </c>
      <c r="C14" s="49">
        <f t="shared" si="0"/>
        <v>1</v>
      </c>
      <c r="D14" s="51">
        <f>INDEX('Market Expansion'!$D$21:$D$56,A14)</f>
        <v>25000</v>
      </c>
      <c r="E14" s="52">
        <f>INDEX(Seasonality!$E$8:$E$19,MONTH(B14))</f>
        <v>0.66666666666666663</v>
      </c>
      <c r="F14" s="53">
        <f>Assumptions!$E$16*(1+Assumptions!$E$17)^((A14-1)/12)</f>
        <v>4.2611375998322064E-2</v>
      </c>
      <c r="G14" s="35">
        <f t="shared" si="1"/>
        <v>710.18959997203433</v>
      </c>
      <c r="H14" s="35">
        <f>G14*Assumptions!$E$18</f>
        <v>390.60427998461893</v>
      </c>
      <c r="I14" s="35">
        <f>H14*Assumptions!$E$19</f>
        <v>97.651069996154732</v>
      </c>
      <c r="J14" s="35">
        <f>M13*Assumptions!$E$24</f>
        <v>2.0031938391913191</v>
      </c>
      <c r="K14" s="35">
        <v>0</v>
      </c>
      <c r="L14" s="35">
        <f t="shared" si="2"/>
        <v>99.654263835346057</v>
      </c>
      <c r="M14" s="54">
        <f>L14+M13*(1-Assumptions!$E$23)</f>
        <v>146.39545341647684</v>
      </c>
      <c r="N14" s="55">
        <f>IF(A14&gt;=Assumptions!$E$11,Assumptions!$E$12,Assumptions!$E$10)</f>
        <v>29</v>
      </c>
      <c r="O14" s="56">
        <f t="shared" si="3"/>
        <v>4245.4681490778285</v>
      </c>
      <c r="P14" s="57">
        <f>Assumptions!$E$29</f>
        <v>14</v>
      </c>
      <c r="Q14" s="58">
        <f>Assumptions!$E$30</f>
        <v>1.6E-2</v>
      </c>
      <c r="R14" s="59">
        <f t="shared" si="4"/>
        <v>32.792581565290817</v>
      </c>
      <c r="S14" s="59">
        <f t="shared" si="5"/>
        <v>4212.6755675125378</v>
      </c>
      <c r="T14" s="60">
        <f t="shared" si="6"/>
        <v>0.99227586206896556</v>
      </c>
    </row>
    <row r="15" spans="1:20" x14ac:dyDescent="0.2">
      <c r="A15" s="49">
        <v>11</v>
      </c>
      <c r="B15" s="50">
        <f>EDATE(Assumptions!$C$5,A15-1)</f>
        <v>46569</v>
      </c>
      <c r="C15" s="49">
        <f t="shared" si="0"/>
        <v>1</v>
      </c>
      <c r="D15" s="51">
        <f>INDEX('Market Expansion'!$D$21:$D$56,A15)</f>
        <v>25000</v>
      </c>
      <c r="E15" s="52">
        <f>INDEX(Seasonality!$E$8:$E$19,MONTH(B15))</f>
        <v>0.95238095238095233</v>
      </c>
      <c r="F15" s="53">
        <f>Assumptions!$E$16*(1+Assumptions!$E$17)^((A15-1)/12)</f>
        <v>4.3553277053802963E-2</v>
      </c>
      <c r="G15" s="35">
        <f t="shared" si="1"/>
        <v>1036.9827869953087</v>
      </c>
      <c r="H15" s="35">
        <f>G15*Assumptions!$E$18</f>
        <v>570.34053284741981</v>
      </c>
      <c r="I15" s="35">
        <f>H15*Assumptions!$E$19</f>
        <v>142.58513321185495</v>
      </c>
      <c r="J15" s="35">
        <f>M14*Assumptions!$E$24</f>
        <v>4.391863602494305</v>
      </c>
      <c r="K15" s="35">
        <v>0</v>
      </c>
      <c r="L15" s="35">
        <f t="shared" si="2"/>
        <v>146.97699681434926</v>
      </c>
      <c r="M15" s="54">
        <f>L15+M14*(1-Assumptions!$E$23)</f>
        <v>249.45381420588305</v>
      </c>
      <c r="N15" s="55">
        <f>IF(A15&gt;=Assumptions!$E$11,Assumptions!$E$12,Assumptions!$E$10)</f>
        <v>29</v>
      </c>
      <c r="O15" s="56">
        <f t="shared" si="3"/>
        <v>7234.1606119706084</v>
      </c>
      <c r="P15" s="57">
        <f>Assumptions!$E$29</f>
        <v>14</v>
      </c>
      <c r="Q15" s="58">
        <f>Assumptions!$E$30</f>
        <v>1.6E-2</v>
      </c>
      <c r="R15" s="59">
        <f t="shared" si="4"/>
        <v>55.877654382117804</v>
      </c>
      <c r="S15" s="59">
        <f t="shared" si="5"/>
        <v>7178.2829575884907</v>
      </c>
      <c r="T15" s="60">
        <f t="shared" si="6"/>
        <v>0.99227586206896556</v>
      </c>
    </row>
    <row r="16" spans="1:20" x14ac:dyDescent="0.2">
      <c r="A16" s="49">
        <v>12</v>
      </c>
      <c r="B16" s="50">
        <f>EDATE(Assumptions!$C$5,A16-1)</f>
        <v>46600</v>
      </c>
      <c r="C16" s="49">
        <f t="shared" si="0"/>
        <v>1</v>
      </c>
      <c r="D16" s="51">
        <f>INDEX('Market Expansion'!$D$21:$D$56,A16)</f>
        <v>25000</v>
      </c>
      <c r="E16" s="52">
        <f>INDEX(Seasonality!$E$8:$E$19,MONTH(B16))</f>
        <v>1.3333333333333333</v>
      </c>
      <c r="F16" s="53">
        <f>Assumptions!$E$16*(1+Assumptions!$E$17)^((A16-1)/12)</f>
        <v>4.451599831462881E-2</v>
      </c>
      <c r="G16" s="35">
        <f t="shared" si="1"/>
        <v>1483.866610487627</v>
      </c>
      <c r="H16" s="35">
        <f>G16*Assumptions!$E$18</f>
        <v>816.12663576819489</v>
      </c>
      <c r="I16" s="35">
        <f>H16*Assumptions!$E$19</f>
        <v>204.03165894204872</v>
      </c>
      <c r="J16" s="35">
        <f>M15*Assumptions!$E$24</f>
        <v>7.4836144261764908</v>
      </c>
      <c r="K16" s="35">
        <v>0</v>
      </c>
      <c r="L16" s="35">
        <f t="shared" si="2"/>
        <v>211.51527336822522</v>
      </c>
      <c r="M16" s="54">
        <f>L16+M15*(1-Assumptions!$E$23)</f>
        <v>386.13294331234334</v>
      </c>
      <c r="N16" s="55">
        <f>IF(A16&gt;=Assumptions!$E$11,Assumptions!$E$12,Assumptions!$E$10)</f>
        <v>29</v>
      </c>
      <c r="O16" s="56">
        <f t="shared" si="3"/>
        <v>11197.855356057957</v>
      </c>
      <c r="P16" s="57">
        <f>Assumptions!$E$29</f>
        <v>14</v>
      </c>
      <c r="Q16" s="58">
        <f>Assumptions!$E$30</f>
        <v>1.6E-2</v>
      </c>
      <c r="R16" s="59">
        <f t="shared" si="4"/>
        <v>86.493779301964906</v>
      </c>
      <c r="S16" s="59">
        <f t="shared" si="5"/>
        <v>11111.361576755991</v>
      </c>
      <c r="T16" s="60">
        <f t="shared" si="6"/>
        <v>0.99227586206896545</v>
      </c>
    </row>
    <row r="17" spans="1:20" x14ac:dyDescent="0.2">
      <c r="A17" s="49">
        <v>13</v>
      </c>
      <c r="B17" s="50">
        <f>EDATE(Assumptions!$C$5,A17-1)</f>
        <v>46631</v>
      </c>
      <c r="C17" s="49">
        <f t="shared" si="0"/>
        <v>2</v>
      </c>
      <c r="D17" s="51">
        <f>INDEX('Market Expansion'!$D$21:$D$56,A17)</f>
        <v>25000</v>
      </c>
      <c r="E17" s="52">
        <f>INDEX(Seasonality!$E$8:$E$19,MONTH(B17))</f>
        <v>1.7142857142857142</v>
      </c>
      <c r="F17" s="53">
        <f>Assumptions!$E$16*(1+Assumptions!$E$17)^((A17-1)/12)</f>
        <v>4.5500000000000006E-2</v>
      </c>
      <c r="G17" s="35">
        <f t="shared" si="1"/>
        <v>1950.0000000000002</v>
      </c>
      <c r="H17" s="35">
        <f>G17*Assumptions!$E$18</f>
        <v>1072.5000000000002</v>
      </c>
      <c r="I17" s="35">
        <f>H17*Assumptions!$E$19</f>
        <v>268.12500000000006</v>
      </c>
      <c r="J17" s="35">
        <f>M16*Assumptions!$E$24</f>
        <v>11.583988299370301</v>
      </c>
      <c r="K17" s="35">
        <f>M5*Assumptions!$E$25</f>
        <v>0.19800000000000001</v>
      </c>
      <c r="L17" s="35">
        <f t="shared" si="2"/>
        <v>279.90698829937031</v>
      </c>
      <c r="M17" s="54">
        <f>L17+M16*(1-Assumptions!$E$23)</f>
        <v>550.20004861801067</v>
      </c>
      <c r="N17" s="55">
        <f>IF(A17&gt;=Assumptions!$E$11,Assumptions!$E$12,Assumptions!$E$10)</f>
        <v>29</v>
      </c>
      <c r="O17" s="56">
        <f t="shared" si="3"/>
        <v>15955.801409922309</v>
      </c>
      <c r="P17" s="57">
        <f>Assumptions!$E$29</f>
        <v>14</v>
      </c>
      <c r="Q17" s="58">
        <f>Assumptions!$E$30</f>
        <v>1.6E-2</v>
      </c>
      <c r="R17" s="59">
        <f t="shared" si="4"/>
        <v>123.24481089043439</v>
      </c>
      <c r="S17" s="59">
        <f t="shared" si="5"/>
        <v>15832.556599031876</v>
      </c>
      <c r="T17" s="60">
        <f t="shared" si="6"/>
        <v>0.99227586206896556</v>
      </c>
    </row>
    <row r="18" spans="1:20" x14ac:dyDescent="0.2">
      <c r="A18" s="49">
        <v>14</v>
      </c>
      <c r="B18" s="50">
        <f>EDATE(Assumptions!$C$5,A18-1)</f>
        <v>46661</v>
      </c>
      <c r="C18" s="49">
        <f t="shared" si="0"/>
        <v>2</v>
      </c>
      <c r="D18" s="51">
        <f>INDEX('Market Expansion'!$D$21:$D$56,A18)</f>
        <v>25000</v>
      </c>
      <c r="E18" s="52">
        <f>INDEX(Seasonality!$E$8:$E$19,MONTH(B18))</f>
        <v>1.5238095238095237</v>
      </c>
      <c r="F18" s="53">
        <f>Assumptions!$E$16*(1+Assumptions!$E$17)^((A18-1)/12)</f>
        <v>4.6505752502009529E-2</v>
      </c>
      <c r="G18" s="35">
        <f t="shared" si="1"/>
        <v>1771.6477143622676</v>
      </c>
      <c r="H18" s="35">
        <f>G18*Assumptions!$E$18</f>
        <v>974.40624289924722</v>
      </c>
      <c r="I18" s="35">
        <f>H18*Assumptions!$E$19</f>
        <v>243.6015607248118</v>
      </c>
      <c r="J18" s="35">
        <f>M17*Assumptions!$E$24</f>
        <v>16.506001458540318</v>
      </c>
      <c r="K18" s="35">
        <f>M6*Assumptions!$E$25</f>
        <v>0.32443038330447643</v>
      </c>
      <c r="L18" s="35">
        <f t="shared" si="2"/>
        <v>260.43199256665662</v>
      </c>
      <c r="M18" s="54">
        <f>L18+M17*(1-Assumptions!$E$23)</f>
        <v>645.57202659926406</v>
      </c>
      <c r="N18" s="55">
        <f>IF(A18&gt;=Assumptions!$E$11,Assumptions!$E$12,Assumptions!$E$10)</f>
        <v>29</v>
      </c>
      <c r="O18" s="56">
        <f t="shared" si="3"/>
        <v>18721.588771378658</v>
      </c>
      <c r="P18" s="57">
        <f>Assumptions!$E$29</f>
        <v>14</v>
      </c>
      <c r="Q18" s="58">
        <f>Assumptions!$E$30</f>
        <v>1.6E-2</v>
      </c>
      <c r="R18" s="59">
        <f t="shared" si="4"/>
        <v>144.60813395823516</v>
      </c>
      <c r="S18" s="59">
        <f t="shared" si="5"/>
        <v>18576.980637420424</v>
      </c>
      <c r="T18" s="60">
        <f t="shared" si="6"/>
        <v>0.99227586206896556</v>
      </c>
    </row>
    <row r="19" spans="1:20" x14ac:dyDescent="0.2">
      <c r="A19" s="49">
        <v>15</v>
      </c>
      <c r="B19" s="50">
        <f>EDATE(Assumptions!$C$5,A19-1)</f>
        <v>46692</v>
      </c>
      <c r="C19" s="49">
        <f t="shared" si="0"/>
        <v>2</v>
      </c>
      <c r="D19" s="51">
        <f>INDEX('Market Expansion'!$D$21:$D$56,A19)</f>
        <v>25000</v>
      </c>
      <c r="E19" s="52">
        <f>INDEX(Seasonality!$E$8:$E$19,MONTH(B19))</f>
        <v>0.95238095238095233</v>
      </c>
      <c r="F19" s="53">
        <f>Assumptions!$E$16*(1+Assumptions!$E$17)^((A19-1)/12)</f>
        <v>4.7533736610509116E-2</v>
      </c>
      <c r="G19" s="35">
        <f t="shared" si="1"/>
        <v>1131.7556335835502</v>
      </c>
      <c r="H19" s="35">
        <f>G19*Assumptions!$E$18</f>
        <v>622.46559847095261</v>
      </c>
      <c r="I19" s="35">
        <f>H19*Assumptions!$E$19</f>
        <v>155.61639961773815</v>
      </c>
      <c r="J19" s="35">
        <f>M18*Assumptions!$E$24</f>
        <v>19.36716079797792</v>
      </c>
      <c r="K19" s="35">
        <f>M7*Assumptions!$E$25</f>
        <v>0.35175090568382822</v>
      </c>
      <c r="L19" s="35">
        <f t="shared" si="2"/>
        <v>175.3353113213999</v>
      </c>
      <c r="M19" s="54">
        <f>L19+M18*(1-Assumptions!$E$23)</f>
        <v>627.23572994088477</v>
      </c>
      <c r="N19" s="55">
        <f>IF(A19&gt;=Assumptions!$E$11,Assumptions!$E$12,Assumptions!$E$10)</f>
        <v>29</v>
      </c>
      <c r="O19" s="56">
        <f t="shared" si="3"/>
        <v>18189.836168285659</v>
      </c>
      <c r="P19" s="57">
        <f>Assumptions!$E$29</f>
        <v>14</v>
      </c>
      <c r="Q19" s="58">
        <f>Assumptions!$E$30</f>
        <v>1.6E-2</v>
      </c>
      <c r="R19" s="59">
        <f t="shared" si="4"/>
        <v>140.50080350675819</v>
      </c>
      <c r="S19" s="59">
        <f t="shared" si="5"/>
        <v>18049.335364778901</v>
      </c>
      <c r="T19" s="60">
        <f t="shared" si="6"/>
        <v>0.99227586206896545</v>
      </c>
    </row>
    <row r="20" spans="1:20" x14ac:dyDescent="0.2">
      <c r="A20" s="49">
        <v>16</v>
      </c>
      <c r="B20" s="50">
        <f>EDATE(Assumptions!$C$5,A20-1)</f>
        <v>46722</v>
      </c>
      <c r="C20" s="49">
        <f t="shared" si="0"/>
        <v>2</v>
      </c>
      <c r="D20" s="51">
        <f>INDEX('Market Expansion'!$D$21:$D$56,A20)</f>
        <v>50000</v>
      </c>
      <c r="E20" s="52">
        <f>INDEX(Seasonality!$E$8:$E$19,MONTH(B20))</f>
        <v>0.5714285714285714</v>
      </c>
      <c r="F20" s="53">
        <f>Assumptions!$E$16*(1+Assumptions!$E$17)^((A20-1)/12)</f>
        <v>4.8584443742946064E-2</v>
      </c>
      <c r="G20" s="35">
        <f t="shared" si="1"/>
        <v>1388.1269640841731</v>
      </c>
      <c r="H20" s="35">
        <f>G20*Assumptions!$E$18</f>
        <v>763.46983024629526</v>
      </c>
      <c r="I20" s="35">
        <f>H20*Assumptions!$E$19</f>
        <v>190.86745756157381</v>
      </c>
      <c r="J20" s="35">
        <f>M19*Assumptions!$E$24</f>
        <v>18.817071898226541</v>
      </c>
      <c r="K20" s="35">
        <f>M8*Assumptions!$E$25</f>
        <v>2.0186316155637223</v>
      </c>
      <c r="L20" s="35">
        <f t="shared" si="2"/>
        <v>211.70316107536408</v>
      </c>
      <c r="M20" s="54">
        <f>L20+M19*(1-Assumptions!$E$23)</f>
        <v>650.76817203398343</v>
      </c>
      <c r="N20" s="55">
        <f>IF(A20&gt;=Assumptions!$E$11,Assumptions!$E$12,Assumptions!$E$10)</f>
        <v>29</v>
      </c>
      <c r="O20" s="56">
        <f t="shared" si="3"/>
        <v>18872.276988985519</v>
      </c>
      <c r="P20" s="57">
        <f>Assumptions!$E$29</f>
        <v>14</v>
      </c>
      <c r="Q20" s="58">
        <f>Assumptions!$E$30</f>
        <v>1.6E-2</v>
      </c>
      <c r="R20" s="59">
        <f t="shared" si="4"/>
        <v>145.7720705356123</v>
      </c>
      <c r="S20" s="59">
        <f t="shared" si="5"/>
        <v>18726.504918449908</v>
      </c>
      <c r="T20" s="60">
        <f t="shared" si="6"/>
        <v>0.99227586206896556</v>
      </c>
    </row>
    <row r="21" spans="1:20" x14ac:dyDescent="0.2">
      <c r="A21" s="49">
        <v>17</v>
      </c>
      <c r="B21" s="50">
        <f>EDATE(Assumptions!$C$5,A21-1)</f>
        <v>46753</v>
      </c>
      <c r="C21" s="49">
        <f t="shared" si="0"/>
        <v>2</v>
      </c>
      <c r="D21" s="51">
        <f>INDEX('Market Expansion'!$D$21:$D$56,A21)</f>
        <v>50000</v>
      </c>
      <c r="E21" s="52">
        <f>INDEX(Seasonality!$E$8:$E$19,MONTH(B21))</f>
        <v>0.8571428571428571</v>
      </c>
      <c r="F21" s="53">
        <f>Assumptions!$E$16*(1+Assumptions!$E$17)^((A21-1)/12)</f>
        <v>4.9658376179280324E-2</v>
      </c>
      <c r="G21" s="35">
        <f t="shared" si="1"/>
        <v>2128.2161219691566</v>
      </c>
      <c r="H21" s="35">
        <f>G21*Assumptions!$E$18</f>
        <v>1170.5188670830362</v>
      </c>
      <c r="I21" s="35">
        <f>H21*Assumptions!$E$19</f>
        <v>292.62971677075905</v>
      </c>
      <c r="J21" s="35">
        <f>M20*Assumptions!$E$24</f>
        <v>19.523045161019503</v>
      </c>
      <c r="K21" s="35">
        <f>M9*Assumptions!$E$25</f>
        <v>4.1747984649377541</v>
      </c>
      <c r="L21" s="35">
        <f t="shared" si="2"/>
        <v>316.32756039671631</v>
      </c>
      <c r="M21" s="54">
        <f>L21+M20*(1-Assumptions!$E$23)</f>
        <v>771.86528082050472</v>
      </c>
      <c r="N21" s="55">
        <f>IF(A21&gt;=Assumptions!$E$11,Assumptions!$E$12,Assumptions!$E$10)</f>
        <v>29</v>
      </c>
      <c r="O21" s="56">
        <f t="shared" si="3"/>
        <v>22384.093143794638</v>
      </c>
      <c r="P21" s="57">
        <f>Assumptions!$E$29</f>
        <v>14</v>
      </c>
      <c r="Q21" s="58">
        <f>Assumptions!$E$30</f>
        <v>1.6E-2</v>
      </c>
      <c r="R21" s="59">
        <f t="shared" si="4"/>
        <v>172.89782290379307</v>
      </c>
      <c r="S21" s="59">
        <f t="shared" si="5"/>
        <v>22211.195320890845</v>
      </c>
      <c r="T21" s="60">
        <f t="shared" si="6"/>
        <v>0.99227586206896556</v>
      </c>
    </row>
    <row r="22" spans="1:20" x14ac:dyDescent="0.2">
      <c r="A22" s="49">
        <v>18</v>
      </c>
      <c r="B22" s="50">
        <f>EDATE(Assumptions!$C$5,A22-1)</f>
        <v>46784</v>
      </c>
      <c r="C22" s="49">
        <f t="shared" si="0"/>
        <v>2</v>
      </c>
      <c r="D22" s="51">
        <f>INDEX('Market Expansion'!$D$21:$D$56,A22)</f>
        <v>50000</v>
      </c>
      <c r="E22" s="52">
        <f>INDEX(Seasonality!$E$8:$E$19,MONTH(B22))</f>
        <v>1.0476190476190477</v>
      </c>
      <c r="F22" s="53">
        <f>Assumptions!$E$16*(1+Assumptions!$E$17)^((A22-1)/12)</f>
        <v>5.0756047302094418E-2</v>
      </c>
      <c r="G22" s="35">
        <f t="shared" si="1"/>
        <v>2658.6500967763745</v>
      </c>
      <c r="H22" s="35">
        <f>G22*Assumptions!$E$18</f>
        <v>1462.2575532270062</v>
      </c>
      <c r="I22" s="35">
        <f>H22*Assumptions!$E$19</f>
        <v>365.56438830675154</v>
      </c>
      <c r="J22" s="35">
        <f>M21*Assumptions!$E$24</f>
        <v>23.15595842461514</v>
      </c>
      <c r="K22" s="35">
        <f>M10*Assumptions!$E$25</f>
        <v>6.422043386851497</v>
      </c>
      <c r="L22" s="35">
        <f t="shared" si="2"/>
        <v>395.1423901182182</v>
      </c>
      <c r="M22" s="54">
        <f>L22+M21*(1-Assumptions!$E$23)</f>
        <v>935.44808669257145</v>
      </c>
      <c r="N22" s="55">
        <f>IF(A22&gt;=Assumptions!$E$11,Assumptions!$E$12,Assumptions!$E$10)</f>
        <v>29</v>
      </c>
      <c r="O22" s="56">
        <f t="shared" si="3"/>
        <v>27127.994514084574</v>
      </c>
      <c r="P22" s="57">
        <f>Assumptions!$E$29</f>
        <v>14</v>
      </c>
      <c r="Q22" s="58">
        <f>Assumptions!$E$30</f>
        <v>1.6E-2</v>
      </c>
      <c r="R22" s="59">
        <f t="shared" si="4"/>
        <v>209.54037141913602</v>
      </c>
      <c r="S22" s="59">
        <f t="shared" si="5"/>
        <v>26918.45414266544</v>
      </c>
      <c r="T22" s="60">
        <f t="shared" si="6"/>
        <v>0.99227586206896556</v>
      </c>
    </row>
    <row r="23" spans="1:20" x14ac:dyDescent="0.2">
      <c r="A23" s="49">
        <v>19</v>
      </c>
      <c r="B23" s="50">
        <f>EDATE(Assumptions!$C$5,A23-1)</f>
        <v>46813</v>
      </c>
      <c r="C23" s="49">
        <f t="shared" si="0"/>
        <v>2</v>
      </c>
      <c r="D23" s="51">
        <f>INDEX('Market Expansion'!$D$21:$D$56,A23)</f>
        <v>50000</v>
      </c>
      <c r="E23" s="52">
        <f>INDEX(Seasonality!$E$8:$E$19,MONTH(B23))</f>
        <v>1.1428571428571428</v>
      </c>
      <c r="F23" s="53">
        <f>Assumptions!$E$16*(1+Assumptions!$E$17)^((A23-1)/12)</f>
        <v>5.1877981842010784E-2</v>
      </c>
      <c r="G23" s="35">
        <f t="shared" si="1"/>
        <v>2964.4561052577592</v>
      </c>
      <c r="H23" s="35">
        <f>G23*Assumptions!$E$18</f>
        <v>1630.4508578917678</v>
      </c>
      <c r="I23" s="35">
        <f>H23*Assumptions!$E$19</f>
        <v>407.61271447294195</v>
      </c>
      <c r="J23" s="35">
        <f>M22*Assumptions!$E$24</f>
        <v>28.063442600777144</v>
      </c>
      <c r="K23" s="35">
        <f>M11*Assumptions!$E$25</f>
        <v>8.4506705752287488</v>
      </c>
      <c r="L23" s="35">
        <f t="shared" si="2"/>
        <v>444.12682764894782</v>
      </c>
      <c r="M23" s="54">
        <f>L23+M22*(1-Assumptions!$E$23)</f>
        <v>1098.9404883337479</v>
      </c>
      <c r="N23" s="55">
        <f>IF(A23&gt;=Assumptions!$E$11,Assumptions!$E$12,Assumptions!$E$10)</f>
        <v>39</v>
      </c>
      <c r="O23" s="56">
        <f t="shared" si="3"/>
        <v>42858.679045016172</v>
      </c>
      <c r="P23" s="57">
        <f>Assumptions!$E$29</f>
        <v>14</v>
      </c>
      <c r="Q23" s="58">
        <f>Assumptions!$E$30</f>
        <v>1.6E-2</v>
      </c>
      <c r="R23" s="59">
        <f t="shared" si="4"/>
        <v>246.16266938675952</v>
      </c>
      <c r="S23" s="59">
        <f t="shared" si="5"/>
        <v>42612.516375629413</v>
      </c>
      <c r="T23" s="60">
        <f t="shared" si="6"/>
        <v>0.99425641025641032</v>
      </c>
    </row>
    <row r="24" spans="1:20" x14ac:dyDescent="0.2">
      <c r="A24" s="49">
        <v>20</v>
      </c>
      <c r="B24" s="50">
        <f>EDATE(Assumptions!$C$5,A24-1)</f>
        <v>46844</v>
      </c>
      <c r="C24" s="49">
        <f t="shared" si="0"/>
        <v>2</v>
      </c>
      <c r="D24" s="51">
        <f>INDEX('Market Expansion'!$D$21:$D$56,A24)</f>
        <v>50000</v>
      </c>
      <c r="E24" s="52">
        <f>INDEX(Seasonality!$E$8:$E$19,MONTH(B24))</f>
        <v>0.76190476190476186</v>
      </c>
      <c r="F24" s="53">
        <f>Assumptions!$E$16*(1+Assumptions!$E$17)^((A24-1)/12)</f>
        <v>5.3024716128534009E-2</v>
      </c>
      <c r="G24" s="35">
        <f t="shared" si="1"/>
        <v>2019.9891858489145</v>
      </c>
      <c r="H24" s="35">
        <f>G24*Assumptions!$E$18</f>
        <v>1110.9940522169031</v>
      </c>
      <c r="I24" s="35">
        <f>H24*Assumptions!$E$19</f>
        <v>277.74851305422578</v>
      </c>
      <c r="J24" s="35">
        <f>M23*Assumptions!$E$24</f>
        <v>32.968214650012435</v>
      </c>
      <c r="K24" s="35">
        <f>M12*Assumptions!$E$25</f>
        <v>8.732821948109839</v>
      </c>
      <c r="L24" s="35">
        <f t="shared" si="2"/>
        <v>319.44954965234808</v>
      </c>
      <c r="M24" s="54">
        <f>L24+M23*(1-Assumptions!$E$23)</f>
        <v>1088.7078914859717</v>
      </c>
      <c r="N24" s="55">
        <f>IF(A24&gt;=Assumptions!$E$11,Assumptions!$E$12,Assumptions!$E$10)</f>
        <v>39</v>
      </c>
      <c r="O24" s="56">
        <f t="shared" si="3"/>
        <v>42459.607767952897</v>
      </c>
      <c r="P24" s="57">
        <f>Assumptions!$E$29</f>
        <v>14</v>
      </c>
      <c r="Q24" s="58">
        <f>Assumptions!$E$30</f>
        <v>1.6E-2</v>
      </c>
      <c r="R24" s="59">
        <f t="shared" si="4"/>
        <v>243.87056769285766</v>
      </c>
      <c r="S24" s="59">
        <f t="shared" si="5"/>
        <v>42215.737200260039</v>
      </c>
      <c r="T24" s="60">
        <f t="shared" si="6"/>
        <v>0.99425641025641021</v>
      </c>
    </row>
    <row r="25" spans="1:20" x14ac:dyDescent="0.2">
      <c r="A25" s="49">
        <v>21</v>
      </c>
      <c r="B25" s="50">
        <f>EDATE(Assumptions!$C$5,A25-1)</f>
        <v>46874</v>
      </c>
      <c r="C25" s="49">
        <f t="shared" si="0"/>
        <v>2</v>
      </c>
      <c r="D25" s="51">
        <f>INDEX('Market Expansion'!$D$21:$D$56,A25)</f>
        <v>50000</v>
      </c>
      <c r="E25" s="52">
        <f>INDEX(Seasonality!$E$8:$E$19,MONTH(B25))</f>
        <v>0.47619047619047616</v>
      </c>
      <c r="F25" s="53">
        <f>Assumptions!$E$16*(1+Assumptions!$E$17)^((A25-1)/12)</f>
        <v>5.4196798346437695E-2</v>
      </c>
      <c r="G25" s="35">
        <f t="shared" si="1"/>
        <v>1290.399960629469</v>
      </c>
      <c r="H25" s="35">
        <f>G25*Assumptions!$E$18</f>
        <v>709.71997834620799</v>
      </c>
      <c r="I25" s="35">
        <f>H25*Assumptions!$E$19</f>
        <v>177.429994586552</v>
      </c>
      <c r="J25" s="35">
        <f>M24*Assumptions!$E$24</f>
        <v>32.661236744579149</v>
      </c>
      <c r="K25" s="35">
        <f>M13*Assumptions!$E$25</f>
        <v>8.0127753567652764</v>
      </c>
      <c r="L25" s="35">
        <f t="shared" si="2"/>
        <v>218.10400668789643</v>
      </c>
      <c r="M25" s="54">
        <f>L25+M24*(1-Assumptions!$E$23)</f>
        <v>980.19953072807664</v>
      </c>
      <c r="N25" s="55">
        <f>IF(A25&gt;=Assumptions!$E$11,Assumptions!$E$12,Assumptions!$E$10)</f>
        <v>39</v>
      </c>
      <c r="O25" s="56">
        <f t="shared" si="3"/>
        <v>38227.781698394989</v>
      </c>
      <c r="P25" s="57">
        <f>Assumptions!$E$29</f>
        <v>14</v>
      </c>
      <c r="Q25" s="58">
        <f>Assumptions!$E$30</f>
        <v>1.6E-2</v>
      </c>
      <c r="R25" s="59">
        <f t="shared" si="4"/>
        <v>219.56469488308917</v>
      </c>
      <c r="S25" s="59">
        <f t="shared" si="5"/>
        <v>38008.217003511898</v>
      </c>
      <c r="T25" s="60">
        <f t="shared" si="6"/>
        <v>0.99425641025641021</v>
      </c>
    </row>
    <row r="26" spans="1:20" x14ac:dyDescent="0.2">
      <c r="A26" s="49">
        <v>22</v>
      </c>
      <c r="B26" s="50">
        <f>EDATE(Assumptions!$C$5,A26-1)</f>
        <v>46905</v>
      </c>
      <c r="C26" s="49">
        <f t="shared" si="0"/>
        <v>2</v>
      </c>
      <c r="D26" s="51">
        <f>INDEX('Market Expansion'!$D$21:$D$56,A26)</f>
        <v>50000</v>
      </c>
      <c r="E26" s="52">
        <f>INDEX(Seasonality!$E$8:$E$19,MONTH(B26))</f>
        <v>0.66666666666666663</v>
      </c>
      <c r="F26" s="53">
        <f>Assumptions!$E$16*(1+Assumptions!$E$17)^((A26-1)/12)</f>
        <v>5.539478879781868E-2</v>
      </c>
      <c r="G26" s="35">
        <f t="shared" si="1"/>
        <v>1846.4929599272893</v>
      </c>
      <c r="H26" s="35">
        <f>G26*Assumptions!$E$18</f>
        <v>1015.5711279600092</v>
      </c>
      <c r="I26" s="35">
        <f>H26*Assumptions!$E$19</f>
        <v>253.89278199000231</v>
      </c>
      <c r="J26" s="35">
        <f>M25*Assumptions!$E$24</f>
        <v>29.405985921842298</v>
      </c>
      <c r="K26" s="35">
        <f>M14*Assumptions!$E$25</f>
        <v>17.56745440997722</v>
      </c>
      <c r="L26" s="35">
        <f t="shared" si="2"/>
        <v>300.86622232182185</v>
      </c>
      <c r="M26" s="54">
        <f>L26+M25*(1-Assumptions!$E$23)</f>
        <v>987.00589383147542</v>
      </c>
      <c r="N26" s="55">
        <f>IF(A26&gt;=Assumptions!$E$11,Assumptions!$E$12,Assumptions!$E$10)</f>
        <v>39</v>
      </c>
      <c r="O26" s="56">
        <f t="shared" si="3"/>
        <v>38493.229859427542</v>
      </c>
      <c r="P26" s="57">
        <f>Assumptions!$E$29</f>
        <v>14</v>
      </c>
      <c r="Q26" s="58">
        <f>Assumptions!$E$30</f>
        <v>1.6E-2</v>
      </c>
      <c r="R26" s="59">
        <f t="shared" si="4"/>
        <v>221.08932021825052</v>
      </c>
      <c r="S26" s="59">
        <f t="shared" si="5"/>
        <v>38272.140539209293</v>
      </c>
      <c r="T26" s="60">
        <f t="shared" si="6"/>
        <v>0.99425641025641032</v>
      </c>
    </row>
    <row r="27" spans="1:20" x14ac:dyDescent="0.2">
      <c r="A27" s="49">
        <v>23</v>
      </c>
      <c r="B27" s="50">
        <f>EDATE(Assumptions!$C$5,A27-1)</f>
        <v>46935</v>
      </c>
      <c r="C27" s="49">
        <f t="shared" si="0"/>
        <v>2</v>
      </c>
      <c r="D27" s="51">
        <f>INDEX('Market Expansion'!$D$21:$D$56,A27)</f>
        <v>50000</v>
      </c>
      <c r="E27" s="52">
        <f>INDEX(Seasonality!$E$8:$E$19,MONTH(B27))</f>
        <v>0.95238095238095233</v>
      </c>
      <c r="F27" s="53">
        <f>Assumptions!$E$16*(1+Assumptions!$E$17)^((A27-1)/12)</f>
        <v>5.6619260169943848E-2</v>
      </c>
      <c r="G27" s="35">
        <f t="shared" si="1"/>
        <v>2696.1552461878018</v>
      </c>
      <c r="H27" s="35">
        <f>G27*Assumptions!$E$18</f>
        <v>1482.8853854032911</v>
      </c>
      <c r="I27" s="35">
        <f>H27*Assumptions!$E$19</f>
        <v>370.72134635082278</v>
      </c>
      <c r="J27" s="35">
        <f>M26*Assumptions!$E$24</f>
        <v>29.610176814944261</v>
      </c>
      <c r="K27" s="35">
        <f>M15*Assumptions!$E$25</f>
        <v>29.934457704705963</v>
      </c>
      <c r="L27" s="35">
        <f t="shared" si="2"/>
        <v>430.26598087047302</v>
      </c>
      <c r="M27" s="54">
        <f>L27+M26*(1-Assumptions!$E$23)</f>
        <v>1121.1701065525058</v>
      </c>
      <c r="N27" s="55">
        <f>IF(A27&gt;=Assumptions!$E$11,Assumptions!$E$12,Assumptions!$E$10)</f>
        <v>39</v>
      </c>
      <c r="O27" s="56">
        <f t="shared" si="3"/>
        <v>43725.634155547727</v>
      </c>
      <c r="P27" s="57">
        <f>Assumptions!$E$29</f>
        <v>14</v>
      </c>
      <c r="Q27" s="58">
        <f>Assumptions!$E$30</f>
        <v>1.6E-2</v>
      </c>
      <c r="R27" s="59">
        <f t="shared" si="4"/>
        <v>251.14210386776131</v>
      </c>
      <c r="S27" s="59">
        <f t="shared" si="5"/>
        <v>43474.492051679968</v>
      </c>
      <c r="T27" s="60">
        <f t="shared" si="6"/>
        <v>0.99425641025641032</v>
      </c>
    </row>
    <row r="28" spans="1:20" x14ac:dyDescent="0.2">
      <c r="A28" s="49">
        <v>24</v>
      </c>
      <c r="B28" s="50">
        <f>EDATE(Assumptions!$C$5,A28-1)</f>
        <v>46966</v>
      </c>
      <c r="C28" s="49">
        <f t="shared" si="0"/>
        <v>2</v>
      </c>
      <c r="D28" s="51">
        <f>INDEX('Market Expansion'!$D$21:$D$56,A28)</f>
        <v>150000</v>
      </c>
      <c r="E28" s="52">
        <f>INDEX(Seasonality!$E$8:$E$19,MONTH(B28))</f>
        <v>1.3333333333333333</v>
      </c>
      <c r="F28" s="53">
        <f>Assumptions!$E$16*(1+Assumptions!$E$17)^((A28-1)/12)</f>
        <v>5.7870797809017452E-2</v>
      </c>
      <c r="G28" s="35">
        <f t="shared" si="1"/>
        <v>11574.159561803488</v>
      </c>
      <c r="H28" s="35">
        <f>G28*Assumptions!$E$18</f>
        <v>6365.787758991919</v>
      </c>
      <c r="I28" s="35">
        <f>H28*Assumptions!$E$19</f>
        <v>1591.4469397479797</v>
      </c>
      <c r="J28" s="35">
        <f>M27*Assumptions!$E$24</f>
        <v>33.635103196575173</v>
      </c>
      <c r="K28" s="35">
        <f>M16*Assumptions!$E$25</f>
        <v>46.335953197481203</v>
      </c>
      <c r="L28" s="35">
        <f t="shared" si="2"/>
        <v>1671.4179961420359</v>
      </c>
      <c r="M28" s="54">
        <f>L28+M27*(1-Assumptions!$E$23)</f>
        <v>2456.2370707287901</v>
      </c>
      <c r="N28" s="55">
        <f>IF(A28&gt;=Assumptions!$E$11,Assumptions!$E$12,Assumptions!$E$10)</f>
        <v>39</v>
      </c>
      <c r="O28" s="56">
        <f t="shared" si="3"/>
        <v>95793.24575842281</v>
      </c>
      <c r="P28" s="57">
        <f>Assumptions!$E$29</f>
        <v>14</v>
      </c>
      <c r="Q28" s="58">
        <f>Assumptions!$E$30</f>
        <v>1.6E-2</v>
      </c>
      <c r="R28" s="59">
        <f t="shared" si="4"/>
        <v>550.1971038432489</v>
      </c>
      <c r="S28" s="59">
        <f t="shared" si="5"/>
        <v>95243.048654579557</v>
      </c>
      <c r="T28" s="60">
        <f t="shared" si="6"/>
        <v>0.99425641025641021</v>
      </c>
    </row>
    <row r="29" spans="1:20" x14ac:dyDescent="0.2">
      <c r="A29" s="49">
        <v>25</v>
      </c>
      <c r="B29" s="50">
        <f>EDATE(Assumptions!$C$5,A29-1)</f>
        <v>46997</v>
      </c>
      <c r="C29" s="49">
        <f t="shared" si="0"/>
        <v>3</v>
      </c>
      <c r="D29" s="51">
        <f>INDEX('Market Expansion'!$D$21:$D$56,A29)</f>
        <v>150000</v>
      </c>
      <c r="E29" s="52">
        <f>INDEX(Seasonality!$E$8:$E$19,MONTH(B29))</f>
        <v>1.7142857142857142</v>
      </c>
      <c r="F29" s="53">
        <f>Assumptions!$E$16*(1+Assumptions!$E$17)^((A29-1)/12)</f>
        <v>5.9150000000000008E-2</v>
      </c>
      <c r="G29" s="35">
        <f t="shared" si="1"/>
        <v>15210.000000000002</v>
      </c>
      <c r="H29" s="35">
        <f>G29*Assumptions!$E$18</f>
        <v>8365.5000000000018</v>
      </c>
      <c r="I29" s="35">
        <f>H29*Assumptions!$E$19</f>
        <v>2091.3750000000005</v>
      </c>
      <c r="J29" s="35">
        <f>M28*Assumptions!$E$24</f>
        <v>73.687112121863706</v>
      </c>
      <c r="K29" s="35">
        <f>M17*Assumptions!$E$25</f>
        <v>66.024005834161272</v>
      </c>
      <c r="L29" s="35">
        <f t="shared" si="2"/>
        <v>2231.0861179560256</v>
      </c>
      <c r="M29" s="54">
        <f>L29+M28*(1-Assumptions!$E$23)</f>
        <v>3950.4520674661785</v>
      </c>
      <c r="N29" s="55">
        <f>IF(A29&gt;=Assumptions!$E$11,Assumptions!$E$12,Assumptions!$E$10)</f>
        <v>39</v>
      </c>
      <c r="O29" s="56">
        <f t="shared" si="3"/>
        <v>154067.63063118097</v>
      </c>
      <c r="P29" s="57">
        <f>Assumptions!$E$29</f>
        <v>14</v>
      </c>
      <c r="Q29" s="58">
        <f>Assumptions!$E$30</f>
        <v>1.6E-2</v>
      </c>
      <c r="R29" s="59">
        <f t="shared" si="4"/>
        <v>884.90126311242398</v>
      </c>
      <c r="S29" s="59">
        <f t="shared" si="5"/>
        <v>153182.72936806854</v>
      </c>
      <c r="T29" s="60">
        <f t="shared" si="6"/>
        <v>0.99425641025641021</v>
      </c>
    </row>
    <row r="30" spans="1:20" x14ac:dyDescent="0.2">
      <c r="A30" s="49">
        <v>26</v>
      </c>
      <c r="B30" s="50">
        <f>EDATE(Assumptions!$C$5,A30-1)</f>
        <v>47027</v>
      </c>
      <c r="C30" s="49">
        <f t="shared" si="0"/>
        <v>3</v>
      </c>
      <c r="D30" s="51">
        <f>INDEX('Market Expansion'!$D$21:$D$56,A30)</f>
        <v>150000</v>
      </c>
      <c r="E30" s="52">
        <f>INDEX(Seasonality!$E$8:$E$19,MONTH(B30))</f>
        <v>1.5238095238095237</v>
      </c>
      <c r="F30" s="53">
        <f>Assumptions!$E$16*(1+Assumptions!$E$17)^((A30-1)/12)</f>
        <v>6.0457478252612384E-2</v>
      </c>
      <c r="G30" s="35">
        <f t="shared" si="1"/>
        <v>13818.852172025687</v>
      </c>
      <c r="H30" s="35">
        <f>G30*Assumptions!$E$18</f>
        <v>7600.3686946141279</v>
      </c>
      <c r="I30" s="35">
        <f>H30*Assumptions!$E$19</f>
        <v>1900.092173653532</v>
      </c>
      <c r="J30" s="35">
        <f>M29*Assumptions!$E$24</f>
        <v>118.51356202398534</v>
      </c>
      <c r="K30" s="35">
        <f>M18*Assumptions!$E$25</f>
        <v>77.468643191911681</v>
      </c>
      <c r="L30" s="35">
        <f t="shared" si="2"/>
        <v>2096.074378869429</v>
      </c>
      <c r="M30" s="54">
        <f>L30+M29*(1-Assumptions!$E$23)</f>
        <v>4861.3908260957542</v>
      </c>
      <c r="N30" s="55">
        <f>IF(A30&gt;=Assumptions!$E$11,Assumptions!$E$12,Assumptions!$E$10)</f>
        <v>39</v>
      </c>
      <c r="O30" s="56">
        <f t="shared" si="3"/>
        <v>189594.2422177344</v>
      </c>
      <c r="P30" s="57">
        <f>Assumptions!$E$29</f>
        <v>14</v>
      </c>
      <c r="Q30" s="58">
        <f>Assumptions!$E$30</f>
        <v>1.6E-2</v>
      </c>
      <c r="R30" s="59">
        <f t="shared" si="4"/>
        <v>1088.9515450454489</v>
      </c>
      <c r="S30" s="59">
        <f t="shared" si="5"/>
        <v>188505.29067268895</v>
      </c>
      <c r="T30" s="60">
        <f t="shared" si="6"/>
        <v>0.99425641025641021</v>
      </c>
    </row>
    <row r="31" spans="1:20" x14ac:dyDescent="0.2">
      <c r="A31" s="49">
        <v>27</v>
      </c>
      <c r="B31" s="50">
        <f>EDATE(Assumptions!$C$5,A31-1)</f>
        <v>47058</v>
      </c>
      <c r="C31" s="49">
        <f t="shared" si="0"/>
        <v>3</v>
      </c>
      <c r="D31" s="51">
        <f>INDEX('Market Expansion'!$D$21:$D$56,A31)</f>
        <v>150000</v>
      </c>
      <c r="E31" s="52">
        <f>INDEX(Seasonality!$E$8:$E$19,MONTH(B31))</f>
        <v>0.95238095238095233</v>
      </c>
      <c r="F31" s="53">
        <f>Assumptions!$E$16*(1+Assumptions!$E$17)^((A31-1)/12)</f>
        <v>6.1793857593661849E-2</v>
      </c>
      <c r="G31" s="35">
        <f t="shared" si="1"/>
        <v>8827.693941951693</v>
      </c>
      <c r="H31" s="35">
        <f>G31*Assumptions!$E$18</f>
        <v>4855.2316680734311</v>
      </c>
      <c r="I31" s="35">
        <f>H31*Assumptions!$E$19</f>
        <v>1213.8079170183578</v>
      </c>
      <c r="J31" s="35">
        <f>M30*Assumptions!$E$24</f>
        <v>145.84172478287263</v>
      </c>
      <c r="K31" s="35">
        <f>M19*Assumptions!$E$25</f>
        <v>75.268287592906162</v>
      </c>
      <c r="L31" s="35">
        <f t="shared" si="2"/>
        <v>1434.9179293941365</v>
      </c>
      <c r="M31" s="54">
        <f>L31+M30*(1-Assumptions!$E$23)</f>
        <v>4837.8915076611647</v>
      </c>
      <c r="N31" s="55">
        <f>IF(A31&gt;=Assumptions!$E$11,Assumptions!$E$12,Assumptions!$E$10)</f>
        <v>39</v>
      </c>
      <c r="O31" s="56">
        <f t="shared" si="3"/>
        <v>188677.76879878543</v>
      </c>
      <c r="P31" s="57">
        <f>Assumptions!$E$29</f>
        <v>14</v>
      </c>
      <c r="Q31" s="58">
        <f>Assumptions!$E$30</f>
        <v>1.6E-2</v>
      </c>
      <c r="R31" s="59">
        <f t="shared" si="4"/>
        <v>1083.687697716101</v>
      </c>
      <c r="S31" s="59">
        <f t="shared" si="5"/>
        <v>187594.08110106934</v>
      </c>
      <c r="T31" s="60">
        <f t="shared" si="6"/>
        <v>0.99425641025641032</v>
      </c>
    </row>
    <row r="32" spans="1:20" x14ac:dyDescent="0.2">
      <c r="A32" s="49">
        <v>28</v>
      </c>
      <c r="B32" s="50">
        <f>EDATE(Assumptions!$C$5,A32-1)</f>
        <v>47088</v>
      </c>
      <c r="C32" s="49">
        <f t="shared" si="0"/>
        <v>3</v>
      </c>
      <c r="D32" s="51">
        <f>INDEX('Market Expansion'!$D$21:$D$56,A32)</f>
        <v>150000</v>
      </c>
      <c r="E32" s="52">
        <f>INDEX(Seasonality!$E$8:$E$19,MONTH(B32))</f>
        <v>0.5714285714285714</v>
      </c>
      <c r="F32" s="53">
        <f>Assumptions!$E$16*(1+Assumptions!$E$17)^((A32-1)/12)</f>
        <v>6.3159776865829881E-2</v>
      </c>
      <c r="G32" s="35">
        <f t="shared" si="1"/>
        <v>5413.6951599282756</v>
      </c>
      <c r="H32" s="35">
        <f>G32*Assumptions!$E$18</f>
        <v>2977.532337960552</v>
      </c>
      <c r="I32" s="35">
        <f>H32*Assumptions!$E$19</f>
        <v>744.383084490138</v>
      </c>
      <c r="J32" s="35">
        <f>M31*Assumptions!$E$24</f>
        <v>145.13674522983493</v>
      </c>
      <c r="K32" s="35">
        <f>M20*Assumptions!$E$25</f>
        <v>78.092180644078013</v>
      </c>
      <c r="L32" s="35">
        <f t="shared" si="2"/>
        <v>967.61201036405089</v>
      </c>
      <c r="M32" s="54">
        <f>L32+M31*(1-Assumptions!$E$23)</f>
        <v>4354.136065726866</v>
      </c>
      <c r="N32" s="55">
        <f>IF(A32&gt;=Assumptions!$E$11,Assumptions!$E$12,Assumptions!$E$10)</f>
        <v>39</v>
      </c>
      <c r="O32" s="56">
        <f t="shared" si="3"/>
        <v>169811.30656334778</v>
      </c>
      <c r="P32" s="57">
        <f>Assumptions!$E$29</f>
        <v>14</v>
      </c>
      <c r="Q32" s="58">
        <f>Assumptions!$E$30</f>
        <v>1.6E-2</v>
      </c>
      <c r="R32" s="59">
        <f t="shared" si="4"/>
        <v>975.32647872281802</v>
      </c>
      <c r="S32" s="59">
        <f t="shared" si="5"/>
        <v>168835.98008462496</v>
      </c>
      <c r="T32" s="60">
        <f t="shared" si="6"/>
        <v>0.99425641025641021</v>
      </c>
    </row>
    <row r="33" spans="1:20" x14ac:dyDescent="0.2">
      <c r="A33" s="49">
        <v>29</v>
      </c>
      <c r="B33" s="50">
        <f>EDATE(Assumptions!$C$5,A33-1)</f>
        <v>47119</v>
      </c>
      <c r="C33" s="49">
        <f t="shared" si="0"/>
        <v>3</v>
      </c>
      <c r="D33" s="51">
        <f>INDEX('Market Expansion'!$D$21:$D$56,A33)</f>
        <v>150000</v>
      </c>
      <c r="E33" s="52">
        <f>INDEX(Seasonality!$E$8:$E$19,MONTH(B33))</f>
        <v>0.8571428571428571</v>
      </c>
      <c r="F33" s="53">
        <f>Assumptions!$E$16*(1+Assumptions!$E$17)^((A33-1)/12)</f>
        <v>6.4555889033064431E-2</v>
      </c>
      <c r="G33" s="35">
        <f t="shared" si="1"/>
        <v>8300.0428756797119</v>
      </c>
      <c r="H33" s="35">
        <f>G33*Assumptions!$E$18</f>
        <v>4565.0235816238419</v>
      </c>
      <c r="I33" s="35">
        <f>H33*Assumptions!$E$19</f>
        <v>1141.2558954059605</v>
      </c>
      <c r="J33" s="35">
        <f>M32*Assumptions!$E$24</f>
        <v>130.62408197180596</v>
      </c>
      <c r="K33" s="35">
        <f>M21*Assumptions!$E$25</f>
        <v>92.623833698460558</v>
      </c>
      <c r="L33" s="35">
        <f t="shared" si="2"/>
        <v>1364.5038110762271</v>
      </c>
      <c r="M33" s="54">
        <f>L33+M32*(1-Assumptions!$E$23)</f>
        <v>4412.3990570850328</v>
      </c>
      <c r="N33" s="55">
        <f>IF(A33&gt;=Assumptions!$E$11,Assumptions!$E$12,Assumptions!$E$10)</f>
        <v>39</v>
      </c>
      <c r="O33" s="56">
        <f t="shared" si="3"/>
        <v>172083.56322631627</v>
      </c>
      <c r="P33" s="57">
        <f>Assumptions!$E$29</f>
        <v>14</v>
      </c>
      <c r="Q33" s="58">
        <f>Assumptions!$E$30</f>
        <v>1.6E-2</v>
      </c>
      <c r="R33" s="59">
        <f t="shared" si="4"/>
        <v>988.37738878704738</v>
      </c>
      <c r="S33" s="59">
        <f t="shared" si="5"/>
        <v>171095.18583752922</v>
      </c>
      <c r="T33" s="60">
        <f t="shared" si="6"/>
        <v>0.99425641025641021</v>
      </c>
    </row>
    <row r="34" spans="1:20" x14ac:dyDescent="0.2">
      <c r="A34" s="49">
        <v>30</v>
      </c>
      <c r="B34" s="50">
        <f>EDATE(Assumptions!$C$5,A34-1)</f>
        <v>47150</v>
      </c>
      <c r="C34" s="49">
        <f t="shared" si="0"/>
        <v>3</v>
      </c>
      <c r="D34" s="51">
        <f>INDEX('Market Expansion'!$D$21:$D$56,A34)</f>
        <v>150000</v>
      </c>
      <c r="E34" s="52">
        <f>INDEX(Seasonality!$E$8:$E$19,MONTH(B34))</f>
        <v>1.0476190476190477</v>
      </c>
      <c r="F34" s="53">
        <f>Assumptions!$E$16*(1+Assumptions!$E$17)^((A34-1)/12)</f>
        <v>6.5982861492722727E-2</v>
      </c>
      <c r="G34" s="35">
        <f t="shared" si="1"/>
        <v>10368.735377427858</v>
      </c>
      <c r="H34" s="35">
        <f>G34*Assumptions!$E$18</f>
        <v>5702.8044575853228</v>
      </c>
      <c r="I34" s="35">
        <f>H34*Assumptions!$E$19</f>
        <v>1425.7011143963307</v>
      </c>
      <c r="J34" s="35">
        <f>M33*Assumptions!$E$24</f>
        <v>132.37197171255099</v>
      </c>
      <c r="K34" s="35">
        <f>M22*Assumptions!$E$25</f>
        <v>112.25377040310858</v>
      </c>
      <c r="L34" s="35">
        <f t="shared" si="2"/>
        <v>1670.3268565119902</v>
      </c>
      <c r="M34" s="54">
        <f>L34+M33*(1-Assumptions!$E$23)</f>
        <v>4759.0061964715132</v>
      </c>
      <c r="N34" s="55">
        <f>IF(A34&gt;=Assumptions!$E$11,Assumptions!$E$12,Assumptions!$E$10)</f>
        <v>39</v>
      </c>
      <c r="O34" s="56">
        <f t="shared" si="3"/>
        <v>185601.24166238902</v>
      </c>
      <c r="P34" s="57">
        <f>Assumptions!$E$29</f>
        <v>14</v>
      </c>
      <c r="Q34" s="58">
        <f>Assumptions!$E$30</f>
        <v>1.6E-2</v>
      </c>
      <c r="R34" s="59">
        <f t="shared" si="4"/>
        <v>1066.017388009619</v>
      </c>
      <c r="S34" s="59">
        <f t="shared" si="5"/>
        <v>184535.2242743794</v>
      </c>
      <c r="T34" s="60">
        <f t="shared" si="6"/>
        <v>0.99425641025641032</v>
      </c>
    </row>
    <row r="35" spans="1:20" x14ac:dyDescent="0.2">
      <c r="A35" s="49">
        <v>31</v>
      </c>
      <c r="B35" s="50">
        <f>EDATE(Assumptions!$C$5,A35-1)</f>
        <v>47178</v>
      </c>
      <c r="C35" s="49">
        <f t="shared" si="0"/>
        <v>3</v>
      </c>
      <c r="D35" s="51">
        <f>INDEX('Market Expansion'!$D$21:$D$56,A35)</f>
        <v>150000</v>
      </c>
      <c r="E35" s="52">
        <f>INDEX(Seasonality!$E$8:$E$19,MONTH(B35))</f>
        <v>1.1428571428571428</v>
      </c>
      <c r="F35" s="53">
        <f>Assumptions!$E$16*(1+Assumptions!$E$17)^((A35-1)/12)</f>
        <v>6.7441376394614019E-2</v>
      </c>
      <c r="G35" s="35">
        <f t="shared" si="1"/>
        <v>11561.378810505259</v>
      </c>
      <c r="H35" s="35">
        <f>G35*Assumptions!$E$18</f>
        <v>6358.7583457778928</v>
      </c>
      <c r="I35" s="35">
        <f>H35*Assumptions!$E$19</f>
        <v>1589.6895864444732</v>
      </c>
      <c r="J35" s="35">
        <f>M34*Assumptions!$E$24</f>
        <v>142.77018589414538</v>
      </c>
      <c r="K35" s="35">
        <f>M23*Assumptions!$E$25</f>
        <v>131.87285860004974</v>
      </c>
      <c r="L35" s="35">
        <f t="shared" si="2"/>
        <v>1864.3326309386684</v>
      </c>
      <c r="M35" s="54">
        <f>L35+M34*(1-Assumptions!$E$23)</f>
        <v>5195.636968468727</v>
      </c>
      <c r="N35" s="55">
        <f>IF(A35&gt;=Assumptions!$E$11,Assumptions!$E$12,Assumptions!$E$10)</f>
        <v>39</v>
      </c>
      <c r="O35" s="56">
        <f t="shared" si="3"/>
        <v>202629.84177028036</v>
      </c>
      <c r="P35" s="57">
        <f>Assumptions!$E$29</f>
        <v>14</v>
      </c>
      <c r="Q35" s="58">
        <f>Assumptions!$E$30</f>
        <v>1.6E-2</v>
      </c>
      <c r="R35" s="59">
        <f t="shared" si="4"/>
        <v>1163.8226809369951</v>
      </c>
      <c r="S35" s="59">
        <f t="shared" si="5"/>
        <v>201466.01908934338</v>
      </c>
      <c r="T35" s="60">
        <f t="shared" si="6"/>
        <v>0.99425641025641032</v>
      </c>
    </row>
    <row r="36" spans="1:20" x14ac:dyDescent="0.2">
      <c r="A36" s="49">
        <v>32</v>
      </c>
      <c r="B36" s="50">
        <f>EDATE(Assumptions!$C$5,A36-1)</f>
        <v>47209</v>
      </c>
      <c r="C36" s="49">
        <f t="shared" si="0"/>
        <v>3</v>
      </c>
      <c r="D36" s="51">
        <f>INDEX('Market Expansion'!$D$21:$D$56,A36)</f>
        <v>150000</v>
      </c>
      <c r="E36" s="52">
        <f>INDEX(Seasonality!$E$8:$E$19,MONTH(B36))</f>
        <v>0.76190476190476186</v>
      </c>
      <c r="F36" s="53">
        <f>Assumptions!$E$16*(1+Assumptions!$E$17)^((A36-1)/12)</f>
        <v>6.8932130967094218E-2</v>
      </c>
      <c r="G36" s="35">
        <f t="shared" si="1"/>
        <v>7877.9578248107682</v>
      </c>
      <c r="H36" s="35">
        <f>G36*Assumptions!$E$18</f>
        <v>4332.8768036459232</v>
      </c>
      <c r="I36" s="35">
        <f>H36*Assumptions!$E$19</f>
        <v>1083.2192009114808</v>
      </c>
      <c r="J36" s="35">
        <f>M35*Assumptions!$E$24</f>
        <v>155.86910905406179</v>
      </c>
      <c r="K36" s="35">
        <f>M24*Assumptions!$E$25</f>
        <v>130.6449469783166</v>
      </c>
      <c r="L36" s="35">
        <f t="shared" si="2"/>
        <v>1369.733256943859</v>
      </c>
      <c r="M36" s="54">
        <f>L36+M35*(1-Assumptions!$E$23)</f>
        <v>5006.6791348719671</v>
      </c>
      <c r="N36" s="55">
        <f>IF(A36&gt;=Assumptions!$E$11,Assumptions!$E$12,Assumptions!$E$10)</f>
        <v>39</v>
      </c>
      <c r="O36" s="56">
        <f t="shared" si="3"/>
        <v>195260.48626000673</v>
      </c>
      <c r="P36" s="57">
        <f>Assumptions!$E$29</f>
        <v>14</v>
      </c>
      <c r="Q36" s="58">
        <f>Assumptions!$E$30</f>
        <v>1.6E-2</v>
      </c>
      <c r="R36" s="59">
        <f t="shared" si="4"/>
        <v>1121.4961262113206</v>
      </c>
      <c r="S36" s="59">
        <f t="shared" si="5"/>
        <v>194138.99013379542</v>
      </c>
      <c r="T36" s="60">
        <f t="shared" si="6"/>
        <v>0.99425641025641032</v>
      </c>
    </row>
    <row r="37" spans="1:20" x14ac:dyDescent="0.2">
      <c r="A37" s="49">
        <v>33</v>
      </c>
      <c r="B37" s="50">
        <f>EDATE(Assumptions!$C$5,A37-1)</f>
        <v>47239</v>
      </c>
      <c r="C37" s="49">
        <f t="shared" si="0"/>
        <v>3</v>
      </c>
      <c r="D37" s="51">
        <f>INDEX('Market Expansion'!$D$21:$D$56,A37)</f>
        <v>150000</v>
      </c>
      <c r="E37" s="52">
        <f>INDEX(Seasonality!$E$8:$E$19,MONTH(B37))</f>
        <v>0.47619047619047616</v>
      </c>
      <c r="F37" s="53">
        <f>Assumptions!$E$16*(1+Assumptions!$E$17)^((A37-1)/12)</f>
        <v>7.0455837850369005E-2</v>
      </c>
      <c r="G37" s="35">
        <f t="shared" si="1"/>
        <v>5032.5598464549284</v>
      </c>
      <c r="H37" s="35">
        <f>G37*Assumptions!$E$18</f>
        <v>2767.9079155502109</v>
      </c>
      <c r="I37" s="35">
        <f>H37*Assumptions!$E$19</f>
        <v>691.97697888755272</v>
      </c>
      <c r="J37" s="35">
        <f>M36*Assumptions!$E$24</f>
        <v>150.200374046159</v>
      </c>
      <c r="K37" s="35">
        <f>M25*Assumptions!$E$25</f>
        <v>117.62394368736919</v>
      </c>
      <c r="L37" s="35">
        <f t="shared" si="2"/>
        <v>959.80129662108095</v>
      </c>
      <c r="M37" s="54">
        <f>L37+M36*(1-Assumptions!$E$23)</f>
        <v>4464.4766910314574</v>
      </c>
      <c r="N37" s="55">
        <f>IF(A37&gt;=Assumptions!$E$11,Assumptions!$E$12,Assumptions!$E$10)</f>
        <v>39</v>
      </c>
      <c r="O37" s="56">
        <f t="shared" si="3"/>
        <v>174114.59095022685</v>
      </c>
      <c r="P37" s="57">
        <f>Assumptions!$E$29</f>
        <v>14</v>
      </c>
      <c r="Q37" s="58">
        <f>Assumptions!$E$30</f>
        <v>1.6E-2</v>
      </c>
      <c r="R37" s="59">
        <f t="shared" si="4"/>
        <v>1000.0427787910465</v>
      </c>
      <c r="S37" s="59">
        <f t="shared" si="5"/>
        <v>173114.5481714358</v>
      </c>
      <c r="T37" s="60">
        <f t="shared" si="6"/>
        <v>0.99425641025641032</v>
      </c>
    </row>
    <row r="38" spans="1:20" x14ac:dyDescent="0.2">
      <c r="A38" s="49">
        <v>34</v>
      </c>
      <c r="B38" s="50">
        <f>EDATE(Assumptions!$C$5,A38-1)</f>
        <v>47270</v>
      </c>
      <c r="C38" s="49">
        <f t="shared" si="0"/>
        <v>3</v>
      </c>
      <c r="D38" s="51">
        <f>INDEX('Market Expansion'!$D$21:$D$56,A38)</f>
        <v>150000</v>
      </c>
      <c r="E38" s="52">
        <f>INDEX(Seasonality!$E$8:$E$19,MONTH(B38))</f>
        <v>0.66666666666666663</v>
      </c>
      <c r="F38" s="53">
        <f>Assumptions!$E$16*(1+Assumptions!$E$17)^((A38-1)/12)</f>
        <v>7.2013225437164277E-2</v>
      </c>
      <c r="G38" s="35">
        <f t="shared" si="1"/>
        <v>7201.3225437164274</v>
      </c>
      <c r="H38" s="35">
        <f>G38*Assumptions!$E$18</f>
        <v>3960.7273990440353</v>
      </c>
      <c r="I38" s="35">
        <f>H38*Assumptions!$E$19</f>
        <v>990.18184976100883</v>
      </c>
      <c r="J38" s="35">
        <f>M37*Assumptions!$E$24</f>
        <v>133.93430073094373</v>
      </c>
      <c r="K38" s="35">
        <f>M26*Assumptions!$E$25</f>
        <v>118.44070725977704</v>
      </c>
      <c r="L38" s="35">
        <f t="shared" si="2"/>
        <v>1242.5568577517297</v>
      </c>
      <c r="M38" s="54">
        <f>L38+M37*(1-Assumptions!$E$23)</f>
        <v>4367.6905414737503</v>
      </c>
      <c r="N38" s="55">
        <f>IF(A38&gt;=Assumptions!$E$11,Assumptions!$E$12,Assumptions!$E$10)</f>
        <v>39</v>
      </c>
      <c r="O38" s="56">
        <f t="shared" si="3"/>
        <v>170339.93111747626</v>
      </c>
      <c r="P38" s="57">
        <f>Assumptions!$E$29</f>
        <v>14</v>
      </c>
      <c r="Q38" s="58">
        <f>Assumptions!$E$30</f>
        <v>1.6E-2</v>
      </c>
      <c r="R38" s="59">
        <f t="shared" si="4"/>
        <v>978.36268129012012</v>
      </c>
      <c r="S38" s="59">
        <f t="shared" si="5"/>
        <v>169361.56843618615</v>
      </c>
      <c r="T38" s="60">
        <f t="shared" si="6"/>
        <v>0.99425641025641032</v>
      </c>
    </row>
    <row r="39" spans="1:20" x14ac:dyDescent="0.2">
      <c r="A39" s="49">
        <v>35</v>
      </c>
      <c r="B39" s="50">
        <f>EDATE(Assumptions!$C$5,A39-1)</f>
        <v>47300</v>
      </c>
      <c r="C39" s="49">
        <f t="shared" si="0"/>
        <v>3</v>
      </c>
      <c r="D39" s="51">
        <f>INDEX('Market Expansion'!$D$21:$D$56,A39)</f>
        <v>150000</v>
      </c>
      <c r="E39" s="52">
        <f>INDEX(Seasonality!$E$8:$E$19,MONTH(B39))</f>
        <v>0.95238095238095233</v>
      </c>
      <c r="F39" s="53">
        <f>Assumptions!$E$16*(1+Assumptions!$E$17)^((A39-1)/12)</f>
        <v>7.360503822092701E-2</v>
      </c>
      <c r="G39" s="35">
        <f t="shared" si="1"/>
        <v>10515.005460132428</v>
      </c>
      <c r="H39" s="35">
        <f>G39*Assumptions!$E$18</f>
        <v>5783.2530030728358</v>
      </c>
      <c r="I39" s="35">
        <f>H39*Assumptions!$E$19</f>
        <v>1445.8132507682089</v>
      </c>
      <c r="J39" s="35">
        <f>M38*Assumptions!$E$24</f>
        <v>131.0307162442125</v>
      </c>
      <c r="K39" s="35">
        <f>M27*Assumptions!$E$25</f>
        <v>134.54041278630069</v>
      </c>
      <c r="L39" s="35">
        <f t="shared" si="2"/>
        <v>1711.3843797987222</v>
      </c>
      <c r="M39" s="54">
        <f>L39+M38*(1-Assumptions!$E$23)</f>
        <v>4768.7677588303468</v>
      </c>
      <c r="N39" s="55">
        <f>IF(A39&gt;=Assumptions!$E$11,Assumptions!$E$12,Assumptions!$E$10)</f>
        <v>39</v>
      </c>
      <c r="O39" s="56">
        <f t="shared" si="3"/>
        <v>185981.94259438352</v>
      </c>
      <c r="P39" s="57">
        <f>Assumptions!$E$29</f>
        <v>14</v>
      </c>
      <c r="Q39" s="58">
        <f>Assumptions!$E$30</f>
        <v>1.6E-2</v>
      </c>
      <c r="R39" s="59">
        <f t="shared" si="4"/>
        <v>1068.2039779779977</v>
      </c>
      <c r="S39" s="59">
        <f t="shared" si="5"/>
        <v>184913.73861640552</v>
      </c>
      <c r="T39" s="60">
        <f t="shared" si="6"/>
        <v>0.99425641025641021</v>
      </c>
    </row>
    <row r="40" spans="1:20" x14ac:dyDescent="0.2">
      <c r="A40" s="49">
        <v>36</v>
      </c>
      <c r="B40" s="50">
        <f>EDATE(Assumptions!$C$5,A40-1)</f>
        <v>47331</v>
      </c>
      <c r="C40" s="49">
        <f t="shared" si="0"/>
        <v>3</v>
      </c>
      <c r="D40" s="51">
        <f>INDEX('Market Expansion'!$D$21:$D$56,A40)</f>
        <v>150000</v>
      </c>
      <c r="E40" s="52">
        <f>INDEX(Seasonality!$E$8:$E$19,MONTH(B40))</f>
        <v>1.3333333333333333</v>
      </c>
      <c r="F40" s="53">
        <f>Assumptions!$E$16*(1+Assumptions!$E$17)^((A40-1)/12)</f>
        <v>7.5232037151722678E-2</v>
      </c>
      <c r="G40" s="35">
        <f t="shared" si="1"/>
        <v>15046.407430344534</v>
      </c>
      <c r="H40" s="35">
        <f>G40*Assumptions!$E$18</f>
        <v>8275.5240866894947</v>
      </c>
      <c r="I40" s="35">
        <f>H40*Assumptions!$E$19</f>
        <v>2068.8810216723737</v>
      </c>
      <c r="J40" s="35">
        <f>M39*Assumptions!$E$24</f>
        <v>143.06303276491039</v>
      </c>
      <c r="K40" s="35">
        <f>M28*Assumptions!$E$25</f>
        <v>294.74844848745482</v>
      </c>
      <c r="L40" s="35">
        <f t="shared" si="2"/>
        <v>2506.6925029247391</v>
      </c>
      <c r="M40" s="54">
        <f>L40+M39*(1-Assumptions!$E$23)</f>
        <v>5844.829934105981</v>
      </c>
      <c r="N40" s="55">
        <f>IF(A40&gt;=Assumptions!$E$11,Assumptions!$E$12,Assumptions!$E$10)</f>
        <v>39</v>
      </c>
      <c r="O40" s="56">
        <f t="shared" si="3"/>
        <v>227948.36743013325</v>
      </c>
      <c r="P40" s="57">
        <f>Assumptions!$E$29</f>
        <v>14</v>
      </c>
      <c r="Q40" s="58">
        <f>Assumptions!$E$30</f>
        <v>1.6E-2</v>
      </c>
      <c r="R40" s="59">
        <f t="shared" si="4"/>
        <v>1309.2419052397397</v>
      </c>
      <c r="S40" s="59">
        <f t="shared" si="5"/>
        <v>226639.12552489352</v>
      </c>
      <c r="T40" s="60">
        <f t="shared" si="6"/>
        <v>0.99425641025641032</v>
      </c>
    </row>
  </sheetData>
  <mergeCells count="2">
    <mergeCell ref="A1:T1"/>
    <mergeCell ref="A2:T2"/>
  </mergeCells>
  <pageMargins left="0.4" right="0.4" top="0.5" bottom="0.5" header="0.511811023622047" footer="0.511811023622047"/>
  <pageSetup fitToHeight="0"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13"/>
  <sheetViews>
    <sheetView showGridLines="0" zoomScaleNormal="100" workbookViewId="0">
      <selection sqref="A1:I1"/>
    </sheetView>
  </sheetViews>
  <sheetFormatPr baseColWidth="10" defaultColWidth="8.6640625" defaultRowHeight="15" x14ac:dyDescent="0.2"/>
  <cols>
    <col min="1" max="1" width="22" customWidth="1"/>
    <col min="2" max="8" width="16" customWidth="1"/>
    <col min="9" max="9" width="46" customWidth="1"/>
  </cols>
  <sheetData>
    <row r="1" spans="1:9" ht="25.5" customHeight="1" x14ac:dyDescent="0.2">
      <c r="A1" s="13" t="s">
        <v>28</v>
      </c>
      <c r="B1" s="13"/>
      <c r="C1" s="13"/>
      <c r="D1" s="13"/>
      <c r="E1" s="13"/>
      <c r="F1" s="13"/>
      <c r="G1" s="13"/>
      <c r="H1" s="13"/>
      <c r="I1" s="13"/>
    </row>
    <row r="2" spans="1:9" ht="15.75" customHeight="1" x14ac:dyDescent="0.2">
      <c r="A2" s="12" t="s">
        <v>201</v>
      </c>
      <c r="B2" s="12"/>
      <c r="C2" s="12"/>
      <c r="D2" s="12"/>
      <c r="E2" s="12"/>
      <c r="F2" s="12"/>
      <c r="G2" s="12"/>
      <c r="H2" s="12"/>
      <c r="I2" s="12"/>
    </row>
    <row r="4" spans="1:9" ht="21.75" customHeight="1" x14ac:dyDescent="0.2">
      <c r="A4" s="11" t="s">
        <v>202</v>
      </c>
      <c r="B4" s="11"/>
      <c r="C4" s="11"/>
      <c r="D4" s="11"/>
      <c r="E4" s="11"/>
      <c r="F4" s="11"/>
      <c r="G4" s="11"/>
      <c r="H4" s="11"/>
      <c r="I4" s="11"/>
    </row>
    <row r="5" spans="1:9" ht="27.75" customHeight="1" x14ac:dyDescent="0.2">
      <c r="A5" s="27" t="s">
        <v>203</v>
      </c>
      <c r="B5" s="27" t="s">
        <v>204</v>
      </c>
      <c r="C5" s="27" t="s">
        <v>205</v>
      </c>
      <c r="D5" s="27" t="s">
        <v>206</v>
      </c>
      <c r="E5" s="27" t="s">
        <v>207</v>
      </c>
      <c r="F5" s="27" t="s">
        <v>208</v>
      </c>
      <c r="G5" s="27" t="s">
        <v>3</v>
      </c>
      <c r="H5" s="27" t="s">
        <v>209</v>
      </c>
      <c r="I5" s="27" t="s">
        <v>210</v>
      </c>
    </row>
    <row r="6" spans="1:9" ht="19.5" customHeight="1" x14ac:dyDescent="0.2">
      <c r="A6" s="61" t="s">
        <v>49</v>
      </c>
      <c r="B6" s="62">
        <f>SUM('Forecast - Conservative'!$O$5:$O$16)</f>
        <v>308.61273828650121</v>
      </c>
      <c r="C6" s="62">
        <f>SUM('Forecast - Conservative'!$O$17:$O$28)</f>
        <v>8970.8469130246449</v>
      </c>
      <c r="D6" s="62">
        <f>SUM('Forecast - Conservative'!$O$29:$O$40)</f>
        <v>28433.746381897818</v>
      </c>
      <c r="E6" s="62">
        <f>'Forecast - Conservative'!$O$16*12</f>
        <v>383.17718782425925</v>
      </c>
      <c r="F6" s="62">
        <f>'Forecast - Conservative'!$O$28*12</f>
        <v>11071.884741308699</v>
      </c>
      <c r="G6" s="62">
        <f>'Forecast - Conservative'!$O$40*12</f>
        <v>62130.037920912553</v>
      </c>
      <c r="H6" s="63">
        <f>SUM('Forecast - Conservative'!$S$29:$S$40)/SUM('Forecast - Conservative'!$O$29:$O$40)</f>
        <v>0.99448275862068958</v>
      </c>
      <c r="I6" s="64">
        <f>'Forecast - Conservative'!$M$40</f>
        <v>178.5345917267602</v>
      </c>
    </row>
    <row r="7" spans="1:9" ht="19.5" customHeight="1" x14ac:dyDescent="0.2">
      <c r="A7" s="61" t="s">
        <v>50</v>
      </c>
      <c r="B7" s="62">
        <f>SUM('Forecast - Base'!$O$5:$O$16)</f>
        <v>5748.3837141005506</v>
      </c>
      <c r="C7" s="62">
        <f>SUM('Forecast - Base'!$O$17:$O$28)</f>
        <v>64284.200175409205</v>
      </c>
      <c r="D7" s="62">
        <f>SUM('Forecast - Base'!$O$29:$O$40)</f>
        <v>202854.5294957672</v>
      </c>
      <c r="E7" s="62">
        <f>'Forecast - Base'!$O$16*12</f>
        <v>17132.964417173876</v>
      </c>
      <c r="F7" s="62">
        <f>'Forecast - Base'!$O$28*12</f>
        <v>113123.41786292248</v>
      </c>
      <c r="G7" s="62">
        <f>'Forecast - Base'!$O$40*12</f>
        <v>290550.731157645</v>
      </c>
      <c r="H7" s="63">
        <f>SUM('Forecast - Base'!$S$29:$S$40)/SUM('Forecast - Base'!$O$29:$O$40)</f>
        <v>0.99448275862068958</v>
      </c>
      <c r="I7" s="64">
        <f>'Forecast - Base'!$M$40</f>
        <v>834.9158941311639</v>
      </c>
    </row>
    <row r="8" spans="1:9" ht="19.5" customHeight="1" x14ac:dyDescent="0.2">
      <c r="A8" s="61" t="s">
        <v>51</v>
      </c>
      <c r="B8" s="62">
        <f>SUM('Forecast - Expansion'!$O$5:$O$16)</f>
        <v>32026.582087580638</v>
      </c>
      <c r="C8" s="62">
        <f>SUM('Forecast - Expansion'!$O$17:$O$28)</f>
        <v>422809.76928121352</v>
      </c>
      <c r="D8" s="62">
        <f>SUM('Forecast - Expansion'!$O$29:$O$40)</f>
        <v>2216110.9132222608</v>
      </c>
      <c r="E8" s="62">
        <f>'Forecast - Expansion'!$O$16*12</f>
        <v>134374.26427269547</v>
      </c>
      <c r="F8" s="62">
        <f>'Forecast - Expansion'!$O$28*12</f>
        <v>1149518.9491010737</v>
      </c>
      <c r="G8" s="62">
        <f>'Forecast - Expansion'!$O$40*12</f>
        <v>2735380.4091615989</v>
      </c>
      <c r="H8" s="63">
        <f>SUM('Forecast - Expansion'!$S$29:$S$40)/SUM('Forecast - Expansion'!$O$29:$O$40)</f>
        <v>0.99425641025641009</v>
      </c>
      <c r="I8" s="64">
        <f>'Forecast - Expansion'!$M$40</f>
        <v>5844.829934105981</v>
      </c>
    </row>
    <row r="10" spans="1:9" ht="31.5" customHeight="1" x14ac:dyDescent="0.2">
      <c r="A10" s="6" t="s">
        <v>211</v>
      </c>
      <c r="B10" s="6"/>
      <c r="C10" s="6"/>
      <c r="D10" s="6"/>
      <c r="E10" s="6"/>
      <c r="F10" s="6"/>
      <c r="G10" s="6"/>
      <c r="H10" s="6"/>
      <c r="I10" s="6"/>
    </row>
    <row r="12" spans="1:9" ht="21.75" customHeight="1" x14ac:dyDescent="0.2">
      <c r="A12" s="11" t="s">
        <v>212</v>
      </c>
      <c r="B12" s="11"/>
      <c r="C12" s="11"/>
      <c r="D12" s="11"/>
      <c r="E12" s="11"/>
      <c r="F12" s="11"/>
      <c r="G12" s="11"/>
      <c r="H12" s="11"/>
      <c r="I12" s="11"/>
    </row>
    <row r="13" spans="1:9" ht="48" customHeight="1" x14ac:dyDescent="0.2">
      <c r="A13" s="6" t="s">
        <v>213</v>
      </c>
      <c r="B13" s="6"/>
      <c r="C13" s="6"/>
      <c r="D13" s="6"/>
      <c r="E13" s="6"/>
      <c r="F13" s="6"/>
      <c r="G13" s="6"/>
      <c r="H13" s="6"/>
      <c r="I13" s="6"/>
    </row>
  </sheetData>
  <mergeCells count="6">
    <mergeCell ref="A13:I13"/>
    <mergeCell ref="A1:I1"/>
    <mergeCell ref="A2:I2"/>
    <mergeCell ref="A4:I4"/>
    <mergeCell ref="A10:I10"/>
    <mergeCell ref="A12:I12"/>
  </mergeCells>
  <pageMargins left="0.4" right="0.4" top="0.5" bottom="0.5" header="0.511811023622047" footer="0.511811023622047"/>
  <pageSetup fitToHeight="0"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21"/>
  <sheetViews>
    <sheetView showGridLines="0" zoomScaleNormal="100" workbookViewId="0">
      <selection sqref="A1:H1"/>
    </sheetView>
  </sheetViews>
  <sheetFormatPr baseColWidth="10" defaultColWidth="8.6640625" defaultRowHeight="15" x14ac:dyDescent="0.2"/>
  <cols>
    <col min="1" max="1" width="30" customWidth="1"/>
    <col min="2" max="7" width="14" customWidth="1"/>
    <col min="8" max="8" width="46" customWidth="1"/>
  </cols>
  <sheetData>
    <row r="1" spans="1:8" ht="25.5" customHeight="1" x14ac:dyDescent="0.2">
      <c r="A1" s="13" t="s">
        <v>214</v>
      </c>
      <c r="B1" s="13"/>
      <c r="C1" s="13"/>
      <c r="D1" s="13"/>
      <c r="E1" s="13"/>
      <c r="F1" s="13"/>
      <c r="G1" s="13"/>
      <c r="H1" s="13"/>
    </row>
    <row r="2" spans="1:8" ht="15.75" customHeight="1" x14ac:dyDescent="0.2">
      <c r="A2" s="12" t="s">
        <v>215</v>
      </c>
      <c r="B2" s="12"/>
      <c r="C2" s="12"/>
      <c r="D2" s="12"/>
      <c r="E2" s="12"/>
      <c r="F2" s="12"/>
      <c r="G2" s="12"/>
      <c r="H2" s="12"/>
    </row>
    <row r="4" spans="1:8" ht="48" customHeight="1" x14ac:dyDescent="0.2">
      <c r="A4" s="6" t="s">
        <v>216</v>
      </c>
      <c r="B4" s="6"/>
      <c r="C4" s="6"/>
      <c r="D4" s="6"/>
      <c r="E4" s="6"/>
      <c r="F4" s="6"/>
      <c r="G4" s="6"/>
      <c r="H4" s="6"/>
    </row>
    <row r="6" spans="1:8" ht="21.75" customHeight="1" x14ac:dyDescent="0.2">
      <c r="A6" s="11" t="s">
        <v>217</v>
      </c>
      <c r="B6" s="11"/>
      <c r="C6" s="11"/>
      <c r="D6" s="11"/>
      <c r="E6" s="11"/>
      <c r="F6" s="11"/>
      <c r="G6" s="11"/>
      <c r="H6" s="11"/>
    </row>
    <row r="7" spans="1:8" ht="18" customHeight="1" x14ac:dyDescent="0.2">
      <c r="A7" s="14" t="s">
        <v>218</v>
      </c>
      <c r="B7" s="65">
        <f>'Market Expansion'!$C$56</f>
        <v>50000</v>
      </c>
    </row>
    <row r="8" spans="1:8" ht="18" customHeight="1" x14ac:dyDescent="0.2">
      <c r="A8" s="14" t="s">
        <v>219</v>
      </c>
      <c r="B8" s="66">
        <f>Assumptions!$D$16*(1+Assumptions!$D$17)^2</f>
        <v>4.3199999999999995E-2</v>
      </c>
    </row>
    <row r="9" spans="1:8" ht="18" customHeight="1" x14ac:dyDescent="0.2">
      <c r="A9" s="14" t="s">
        <v>220</v>
      </c>
      <c r="B9" s="67">
        <f>Assumptions!$D$18</f>
        <v>0.5</v>
      </c>
    </row>
    <row r="10" spans="1:8" ht="18" customHeight="1" x14ac:dyDescent="0.2">
      <c r="A10" s="14" t="s">
        <v>221</v>
      </c>
      <c r="B10" s="68">
        <f>Assumptions!$D$24</f>
        <v>0.02</v>
      </c>
    </row>
    <row r="11" spans="1:8" ht="18" customHeight="1" x14ac:dyDescent="0.2">
      <c r="A11" s="14" t="s">
        <v>222</v>
      </c>
      <c r="B11" s="69">
        <f>Assumptions!$D$10</f>
        <v>29</v>
      </c>
    </row>
    <row r="13" spans="1:8" ht="21.75" customHeight="1" x14ac:dyDescent="0.2">
      <c r="A13" s="11" t="s">
        <v>223</v>
      </c>
      <c r="B13" s="11"/>
      <c r="C13" s="11"/>
      <c r="D13" s="11"/>
      <c r="E13" s="11"/>
      <c r="F13" s="11"/>
      <c r="G13" s="11"/>
      <c r="H13" s="11"/>
    </row>
    <row r="14" spans="1:8" ht="24" customHeight="1" x14ac:dyDescent="0.2">
      <c r="A14" s="70" t="s">
        <v>224</v>
      </c>
      <c r="B14" s="71">
        <v>0.25</v>
      </c>
      <c r="C14" s="71">
        <v>0.3</v>
      </c>
      <c r="D14" s="71">
        <v>0.33</v>
      </c>
      <c r="E14" s="71">
        <v>0.38</v>
      </c>
      <c r="F14" s="71">
        <v>0.43</v>
      </c>
    </row>
    <row r="15" spans="1:8" x14ac:dyDescent="0.2">
      <c r="A15" s="72">
        <v>0.1</v>
      </c>
      <c r="B15" s="59">
        <f t="shared" ref="B15:F19" si="0">($B$7*$B$8*$B$9*$A15)/(B$14-$B$10)*$B$11*12</f>
        <v>163408.69565217389</v>
      </c>
      <c r="C15" s="59">
        <f t="shared" si="0"/>
        <v>134228.57142857142</v>
      </c>
      <c r="D15" s="59">
        <f t="shared" si="0"/>
        <v>121238.70967741933</v>
      </c>
      <c r="E15" s="59">
        <f t="shared" si="0"/>
        <v>104400</v>
      </c>
      <c r="F15" s="59">
        <f t="shared" si="0"/>
        <v>91668.292682926811</v>
      </c>
    </row>
    <row r="16" spans="1:8" x14ac:dyDescent="0.2">
      <c r="A16" s="72">
        <v>0.15</v>
      </c>
      <c r="B16" s="59">
        <f t="shared" si="0"/>
        <v>245113.04347826084</v>
      </c>
      <c r="C16" s="59">
        <f t="shared" si="0"/>
        <v>201342.85714285713</v>
      </c>
      <c r="D16" s="59">
        <f t="shared" si="0"/>
        <v>181858.064516129</v>
      </c>
      <c r="E16" s="59">
        <f t="shared" si="0"/>
        <v>156599.99999999997</v>
      </c>
      <c r="F16" s="59">
        <f t="shared" si="0"/>
        <v>137502.43902439022</v>
      </c>
    </row>
    <row r="17" spans="1:8" x14ac:dyDescent="0.2">
      <c r="A17" s="72">
        <v>0.2</v>
      </c>
      <c r="B17" s="59">
        <f t="shared" si="0"/>
        <v>326817.39130434778</v>
      </c>
      <c r="C17" s="59">
        <f t="shared" si="0"/>
        <v>268457.14285714284</v>
      </c>
      <c r="D17" s="73">
        <f t="shared" si="0"/>
        <v>242477.41935483867</v>
      </c>
      <c r="E17" s="59">
        <f t="shared" si="0"/>
        <v>208800</v>
      </c>
      <c r="F17" s="59">
        <f t="shared" si="0"/>
        <v>183336.58536585362</v>
      </c>
    </row>
    <row r="18" spans="1:8" x14ac:dyDescent="0.2">
      <c r="A18" s="72">
        <v>0.25</v>
      </c>
      <c r="B18" s="59">
        <f t="shared" si="0"/>
        <v>408521.73913043464</v>
      </c>
      <c r="C18" s="59">
        <f t="shared" si="0"/>
        <v>335571.42857142858</v>
      </c>
      <c r="D18" s="59">
        <f t="shared" si="0"/>
        <v>303096.77419354831</v>
      </c>
      <c r="E18" s="59">
        <f t="shared" si="0"/>
        <v>260999.99999999994</v>
      </c>
      <c r="F18" s="59">
        <f t="shared" si="0"/>
        <v>229170.731707317</v>
      </c>
    </row>
    <row r="19" spans="1:8" x14ac:dyDescent="0.2">
      <c r="A19" s="72">
        <v>0.3</v>
      </c>
      <c r="B19" s="59">
        <f t="shared" si="0"/>
        <v>490226.08695652167</v>
      </c>
      <c r="C19" s="59">
        <f t="shared" si="0"/>
        <v>402685.71428571426</v>
      </c>
      <c r="D19" s="59">
        <f t="shared" si="0"/>
        <v>363716.129032258</v>
      </c>
      <c r="E19" s="59">
        <f t="shared" si="0"/>
        <v>313199.99999999994</v>
      </c>
      <c r="F19" s="59">
        <f t="shared" si="0"/>
        <v>275004.87804878043</v>
      </c>
    </row>
    <row r="21" spans="1:8" ht="39.75" customHeight="1" x14ac:dyDescent="0.2">
      <c r="A21" s="6" t="s">
        <v>225</v>
      </c>
      <c r="B21" s="6"/>
      <c r="C21" s="6"/>
      <c r="D21" s="6"/>
      <c r="E21" s="6"/>
      <c r="F21" s="6"/>
      <c r="G21" s="6"/>
      <c r="H21" s="6"/>
    </row>
  </sheetData>
  <mergeCells count="6">
    <mergeCell ref="A21:H21"/>
    <mergeCell ref="A1:H1"/>
    <mergeCell ref="A2:H2"/>
    <mergeCell ref="A4:H4"/>
    <mergeCell ref="A6:H6"/>
    <mergeCell ref="A13:H13"/>
  </mergeCells>
  <conditionalFormatting sqref="B15:F19">
    <cfRule type="colorScale" priority="2">
      <colorScale>
        <cfvo type="min"/>
        <cfvo type="max"/>
        <color rgb="FFF8CBAD"/>
        <color rgb="FFA9D08E"/>
      </colorScale>
    </cfRule>
  </conditionalFormatting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Read Me</vt:lpstr>
      <vt:lpstr>Assumptions</vt:lpstr>
      <vt:lpstr>Seasonality</vt:lpstr>
      <vt:lpstr>Market Expansion</vt:lpstr>
      <vt:lpstr>Product Expansion</vt:lpstr>
      <vt:lpstr>Forecast - Conservative</vt:lpstr>
      <vt:lpstr>Forecast - Base</vt:lpstr>
      <vt:lpstr>Forecast - Expansion</vt:lpstr>
      <vt:lpstr>Scenario Summary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Emma Chaffee</cp:lastModifiedBy>
  <cp:revision>1</cp:revision>
  <dcterms:created xsi:type="dcterms:W3CDTF">2026-08-08T21:06:02Z</dcterms:created>
  <dcterms:modified xsi:type="dcterms:W3CDTF">2026-08-08T21:18:11Z</dcterms:modified>
  <dc:language>en-US</dc:language>
</cp:coreProperties>
</file>