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mmachaffee/Desktop/QUACKED/assets/"/>
    </mc:Choice>
  </mc:AlternateContent>
  <xr:revisionPtr revIDLastSave="0" documentId="8_{473F080B-E461-BE4C-BAE9-1BDC7ADB517A}" xr6:coauthVersionLast="47" xr6:coauthVersionMax="47" xr10:uidLastSave="{00000000-0000-0000-0000-000000000000}"/>
  <bookViews>
    <workbookView xWindow="0" yWindow="500" windowWidth="20800" windowHeight="12720" tabRatio="500" activeTab="4" xr2:uid="{00000000-000D-0000-FFFF-FFFF00000000}"/>
  </bookViews>
  <sheets>
    <sheet name="Assumptions" sheetId="1" r:id="rId1"/>
    <sheet name="Actual Spend to Date" sheetId="2" r:id="rId2"/>
    <sheet name="Beta Cost Projection" sheetId="3" r:id="rId3"/>
    <sheet name="Funding Ask Summary" sheetId="4" r:id="rId4"/>
    <sheet name="Roadmap &amp; Mileston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4" l="1"/>
  <c r="B11" i="4"/>
  <c r="B10" i="4"/>
  <c r="C14" i="3"/>
  <c r="B14" i="3"/>
  <c r="D14" i="3" s="1"/>
  <c r="E14" i="3" s="1"/>
  <c r="C13" i="3"/>
  <c r="B13" i="3"/>
  <c r="D13" i="3" s="1"/>
  <c r="E13" i="3" s="1"/>
  <c r="B9" i="4" s="1"/>
  <c r="B13" i="4" s="1"/>
  <c r="C12" i="3"/>
  <c r="B12" i="3"/>
  <c r="D12" i="3" s="1"/>
  <c r="B6" i="3"/>
  <c r="B5" i="3"/>
  <c r="B7" i="3" s="1"/>
  <c r="B8" i="3" s="1"/>
  <c r="B18" i="2"/>
  <c r="B17" i="2"/>
  <c r="B19" i="2" s="1"/>
  <c r="B10" i="2"/>
  <c r="B14" i="4" l="1"/>
  <c r="B15" i="4" s="1"/>
  <c r="B25" i="2"/>
  <c r="B5" i="4" s="1"/>
  <c r="E12" i="3"/>
  <c r="B17" i="4" l="1"/>
</calcChain>
</file>

<file path=xl/sharedStrings.xml><?xml version="1.0" encoding="utf-8"?>
<sst xmlns="http://schemas.openxmlformats.org/spreadsheetml/2006/main" count="159" uniqueCount="135">
  <si>
    <t>Quacked — Model Assumptions (edit the blue cells)</t>
  </si>
  <si>
    <t>All cells in blue are editable inputs. Black cells are formulas that pull from these. Update here — everything downstream recalculates.</t>
  </si>
  <si>
    <t>Anthropic API Pricing (Claude Sonnet 4.5)</t>
  </si>
  <si>
    <t>Item</t>
  </si>
  <si>
    <t>Value</t>
  </si>
  <si>
    <t>Source / Note</t>
  </si>
  <si>
    <t>Input price ($ per million tokens)</t>
  </si>
  <si>
    <t>Anthropic official: anthropic.com/news/claude-sonnet-4-5, verified Aug 2026</t>
  </si>
  <si>
    <t>Output price ($ per million tokens)</t>
  </si>
  <si>
    <t>Same source</t>
  </si>
  <si>
    <t>Per-Case API Usage Estimate (PLACEHOLDER — refine once real usage logs exist)</t>
  </si>
  <si>
    <t>Est. input tokens per API call</t>
  </si>
  <si>
    <t>Placeholder estimate (system prompt + case context). Refine from actual token logs.</t>
  </si>
  <si>
    <t>Est. output tokens per API call</t>
  </si>
  <si>
    <t>Placeholder estimate (generated case/feedback prose). Refine from actual token logs.</t>
  </si>
  <si>
    <t>Est. API calls per completed case</t>
  </si>
  <si>
    <t>Placeholder — e.g. one generation call + one prose/interpretation call. Varies by engine (Fly, Dive, Swim, Exhibits).</t>
  </si>
  <si>
    <t>Beta Cohort Assumptions</t>
  </si>
  <si>
    <t>Beta cohort size — low</t>
  </si>
  <si>
    <t>Founder estimate: 10-20 person beta, mixed recruiting-experience/no-experience for varied feedback</t>
  </si>
  <si>
    <t>Beta cohort size — high</t>
  </si>
  <si>
    <t>Founder estimate</t>
  </si>
  <si>
    <t>Est. cases per beta user</t>
  </si>
  <si>
    <t>Founder estimate, flagged as uncertain — validate against actual beta usage once live</t>
  </si>
  <si>
    <t>Non-API Recurring Costs</t>
  </si>
  <si>
    <t>Value ($/mo)</t>
  </si>
  <si>
    <t>Claude subscription (Pro/Max)</t>
  </si>
  <si>
    <t>PLACEHOLDER — confirm exact plan &amp; monthly cost</t>
  </si>
  <si>
    <t>ChatGPT subscription (Go tier)</t>
  </si>
  <si>
    <t>Cursor — ongoing monthly rate</t>
  </si>
  <si>
    <t>Founder-confirmed: resets to $20/mo going forward (June was $20, Aug was $60 — see Actual Spend tab)</t>
  </si>
  <si>
    <t>Vercel Pro (post-beta-scale)</t>
  </si>
  <si>
    <t>Vercel official pricing, per seat/mo, verified Aug 2026</t>
  </si>
  <si>
    <t>Supabase Pro (post-beta-scale)</t>
  </si>
  <si>
    <t>Supabase official pricing, base/mo (usage overages not included), verified Aug 2026</t>
  </si>
  <si>
    <t>One-Time / Beta-Window Costs</t>
  </si>
  <si>
    <t>Library build day (case pre-generation)</t>
  </si>
  <si>
    <t>Beta + testing window duration (months)</t>
  </si>
  <si>
    <t>Contingency / buffer</t>
  </si>
  <si>
    <t>Actual Spend to Date</t>
  </si>
  <si>
    <t>Anthropic API costs pulled directly from the Console cost dashboard. Subscription costs as reported by founder.</t>
  </si>
  <si>
    <t>Anthropic API Cost (Console)</t>
  </si>
  <si>
    <t>Period</t>
  </si>
  <si>
    <t>Cost</t>
  </si>
  <si>
    <t>Source</t>
  </si>
  <si>
    <t>May 2026 (May 1 - Jun 1)</t>
  </si>
  <si>
    <t>Anthropic Console, Cost dashboard, range 2026-05-01 to 2026-06-01</t>
  </si>
  <si>
    <t>June 2026 (Jun 1 - Jul 1)</t>
  </si>
  <si>
    <t>Anthropic Console, Cost dashboard, range 2026-06-01 to 2026-07-01</t>
  </si>
  <si>
    <t>July 2026 (Jul 1 - Aug 1)</t>
  </si>
  <si>
    <t>Anthropic Console, Cost dashboard, range 2026-07-01 to 2026-08-01</t>
  </si>
  <si>
    <t>Aug 2026 (Aug 1 - Aug 8, partial month)</t>
  </si>
  <si>
    <t>Anthropic Console, Cost dashboard, range 2026-08-01 to 2026-08-08</t>
  </si>
  <si>
    <t>Total API cost to date</t>
  </si>
  <si>
    <t>Subscriptions &amp; Dev Tools</t>
  </si>
  <si>
    <t>Note</t>
  </si>
  <si>
    <t>Cursor — June 2026</t>
  </si>
  <si>
    <t>Founder-reported actual</t>
  </si>
  <si>
    <t>Cursor — July 2026</t>
  </si>
  <si>
    <t>NEEDS FOUNDER — amount not specified; enter actual or estimate</t>
  </si>
  <si>
    <t>Cursor — August 2026</t>
  </si>
  <si>
    <t>Founder-reported actual (higher usage month)</t>
  </si>
  <si>
    <t>Claude subscription, months held x rate</t>
  </si>
  <si>
    <t>PLACEHOLDER: assumes 3 months held at Assumptions rate — confirm actual start date &amp; plan</t>
  </si>
  <si>
    <t>ChatGPT subscription, months held x rate</t>
  </si>
  <si>
    <t>Total subscriptions to date (excl. TBD items)</t>
  </si>
  <si>
    <t>Infrastructure (Vercel / Supabase)</t>
  </si>
  <si>
    <t>Vercel / Supabase spend to date</t>
  </si>
  <si>
    <t>Founder-confirmed: currently on free tiers, $0 to date</t>
  </si>
  <si>
    <t>TOTAL SPEND TO DATE (excl. TBD items above)</t>
  </si>
  <si>
    <t>Beta Cost Projection (Sept - Dec 2026)</t>
  </si>
  <si>
    <t>Bottom-up token-based estimate. Every input pulls from the Assumptions tab — change assumptions there, this recalculates.</t>
  </si>
  <si>
    <t>Cost per API call</t>
  </si>
  <si>
    <t>Input token cost</t>
  </si>
  <si>
    <t>Output token cost</t>
  </si>
  <si>
    <t>Cost per completed case (calls per case x cost per call)</t>
  </si>
  <si>
    <t>Scenario: Beta API Cost by Cohort Size</t>
  </si>
  <si>
    <t>Scenario</t>
  </si>
  <si>
    <t>Beta users</t>
  </si>
  <si>
    <t>Cases / user</t>
  </si>
  <si>
    <t>Total cases</t>
  </si>
  <si>
    <t>Total API cost</t>
  </si>
  <si>
    <t>Low</t>
  </si>
  <si>
    <t>Mid (avg of low/high)</t>
  </si>
  <si>
    <t>High</t>
  </si>
  <si>
    <t>Note: cases-per-user and calls-per-case are founder estimates flagged in Assumptions as unvalidated — treat this as a planning range, not a committed forecast.</t>
  </si>
  <si>
    <t>Funding Ask Summary</t>
  </si>
  <si>
    <t>Combines actual spend to date with projected beta-phase costs (mid scenario) to justify the total ask.</t>
  </si>
  <si>
    <t>Already Spent (to date)</t>
  </si>
  <si>
    <t>Total spend to date (API + subscriptions + infra)</t>
  </si>
  <si>
    <t>Beta Phase Costs (Sept - Dec 2026, mid scenario)</t>
  </si>
  <si>
    <t>Beta API cost (mid scenario: ~15 users x 20 cases)</t>
  </si>
  <si>
    <t>From Beta Cost Projection tab, mid-scenario column</t>
  </si>
  <si>
    <t>Infra upgrade (Vercel Pro + Supabase Pro x beta duration)</t>
  </si>
  <si>
    <t>Needed once beta traffic exceeds free tiers</t>
  </si>
  <si>
    <t>Subscriptions during beta window (Cursor + Claude + ChatGPT x duration)</t>
  </si>
  <si>
    <t>Dev tool subscriptions held through the beta window</t>
  </si>
  <si>
    <t>One-time cache-load run before beta</t>
  </si>
  <si>
    <t>Beta-phase subtotal</t>
  </si>
  <si>
    <t>Contingency buffer</t>
  </si>
  <si>
    <t>15% buffer per Assumptions tab</t>
  </si>
  <si>
    <t>Beta-phase total (with contingency)</t>
  </si>
  <si>
    <t>TOTAL FUNDING ASK</t>
  </si>
  <si>
    <t>Total funding ask = money already spent building through beta + projected cost of running the beta through the Dec 2026 integration window, plus a 15% buffer.</t>
  </si>
  <si>
    <t>Pro Forma Roadmap — Beta Through Full Launch</t>
  </si>
  <si>
    <t>Target dates as of Aug 2026. Status column is a manual field — update as milestones complete.</t>
  </si>
  <si>
    <t>Milestone</t>
  </si>
  <si>
    <t>Target Date</t>
  </si>
  <si>
    <t>Notes</t>
  </si>
  <si>
    <t>Exhibits Batch 4.5 (content remediation)</t>
  </si>
  <si>
    <t>In progress, Aug 2026</t>
  </si>
  <si>
    <t>Precedes Batch 5 archetypes; scoped, not yet built</t>
  </si>
  <si>
    <t>Fly Phase B (real UI/UX build)</t>
  </si>
  <si>
    <t>Fall 2026</t>
  </si>
  <si>
    <t>Builds on completed Phase A engine extraction</t>
  </si>
  <si>
    <t>Case library build day (pre-generate Fly + Business Interpretation cases)</t>
  </si>
  <si>
    <t>Before beta invites</t>
  </si>
  <si>
    <t>Avoids per-user on-demand API spend at scale; sequenced after Fly Phase B</t>
  </si>
  <si>
    <t>Stripe integration, QA pass, custom domain</t>
  </si>
  <si>
    <t>Domain/webhooks deferred to just before invites per existing plan</t>
  </si>
  <si>
    <t>Beta invites go out</t>
  </si>
  <si>
    <t>September 2026</t>
  </si>
  <si>
    <t>10-20 person cohort, mixed recruiting-experience/no-experience</t>
  </si>
  <si>
    <t>Beta feedback integration window opens</t>
  </si>
  <si>
    <t>By December 1, 2026 (latest)</t>
  </si>
  <si>
    <t>Beta feedback integration window closes</t>
  </si>
  <si>
    <t>December 31, 2026</t>
  </si>
  <si>
    <t>Feedback fully integrated over winter break</t>
  </si>
  <si>
    <t>Second brief beta sprint + pricing strategy session</t>
  </si>
  <si>
    <t>Early 2027</t>
  </si>
  <si>
    <t>Informs final pricing model and recruiting-sprint bundle decisions</t>
  </si>
  <si>
    <t>Recruiting sprint bundles &amp; early pricing model finalized</t>
  </si>
  <si>
    <t>Early 2027, before full launch</t>
  </si>
  <si>
    <t>Full public launch</t>
  </si>
  <si>
    <t>January - February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</si>
</sst>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\$#,##0"/>
    <numFmt numFmtId="166" formatCode="0.0%"/>
    <numFmt numFmtId="167" formatCode="\$#,##0.00;&quot;($&quot;#,##0.00\);\-"/>
    <numFmt numFmtId="168" formatCode="\$#,##0;&quot;($&quot;#,##0\);\-"/>
    <numFmt numFmtId="169" formatCode="0.0"/>
  </numFmts>
  <fonts count="11" x14ac:knownFonts="1">
    <font>
      <sz val="11"/>
      <color theme="1"/>
      <name val="Calibri"/>
      <family val="2"/>
      <charset val="1"/>
    </font>
    <font>
      <b/>
      <sz val="15"/>
      <color rgb="FF1B3B6F"/>
      <name val="Cambria"/>
      <charset val="1"/>
    </font>
    <font>
      <i/>
      <sz val="9"/>
      <color rgb="FF666666"/>
      <name val="Cambria"/>
      <charset val="1"/>
    </font>
    <font>
      <b/>
      <sz val="11"/>
      <color rgb="FF1B3B6F"/>
      <name val="Cambria"/>
      <charset val="1"/>
    </font>
    <font>
      <b/>
      <sz val="12"/>
      <color rgb="FFFFFFFF"/>
      <name val="Cambria"/>
      <charset val="1"/>
    </font>
    <font>
      <sz val="11"/>
      <color rgb="FF0000FF"/>
      <name val="Cambria"/>
      <charset val="1"/>
    </font>
    <font>
      <b/>
      <sz val="11"/>
      <color rgb="FF000000"/>
      <name val="Cambria"/>
      <charset val="1"/>
    </font>
    <font>
      <sz val="11"/>
      <color rgb="FF008000"/>
      <name val="Cambria"/>
      <charset val="1"/>
    </font>
    <font>
      <b/>
      <sz val="12"/>
      <color rgb="FF1B3B6F"/>
      <name val="Cambria"/>
      <charset val="1"/>
    </font>
    <font>
      <sz val="11"/>
      <color rgb="FF000000"/>
      <name val="Cambria"/>
      <charset val="1"/>
    </font>
    <font>
      <b/>
      <sz val="13"/>
      <color rgb="FF1B3B6F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B3B6F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7F4EC"/>
        <bgColor rgb="FFFFFFFF"/>
      </patternFill>
    </fill>
    <fill>
      <patternFill patternType="solid">
        <fgColor rgb="FFF5C842"/>
        <bgColor rgb="FFFFCC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164" fontId="5" fillId="3" borderId="1" xfId="0" applyNumberFormat="1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7" fontId="5" fillId="3" borderId="1" xfId="0" applyNumberFormat="1" applyFont="1" applyFill="1" applyBorder="1"/>
    <xf numFmtId="0" fontId="6" fillId="4" borderId="0" xfId="0" applyFont="1" applyFill="1"/>
    <xf numFmtId="167" fontId="6" fillId="4" borderId="0" xfId="0" applyNumberFormat="1" applyFont="1" applyFill="1"/>
    <xf numFmtId="168" fontId="5" fillId="3" borderId="1" xfId="0" applyNumberFormat="1" applyFont="1" applyFill="1" applyBorder="1"/>
    <xf numFmtId="168" fontId="7" fillId="0" borderId="1" xfId="0" applyNumberFormat="1" applyFont="1" applyBorder="1"/>
    <xf numFmtId="168" fontId="6" fillId="4" borderId="0" xfId="0" applyNumberFormat="1" applyFont="1" applyFill="1"/>
    <xf numFmtId="0" fontId="8" fillId="4" borderId="0" xfId="0" applyFont="1" applyFill="1"/>
    <xf numFmtId="168" fontId="8" fillId="4" borderId="0" xfId="0" applyNumberFormat="1" applyFont="1" applyFill="1"/>
    <xf numFmtId="167" fontId="7" fillId="0" borderId="1" xfId="0" applyNumberFormat="1" applyFont="1" applyBorder="1"/>
    <xf numFmtId="169" fontId="7" fillId="0" borderId="1" xfId="0" applyNumberFormat="1" applyFont="1" applyBorder="1"/>
    <xf numFmtId="1" fontId="7" fillId="0" borderId="1" xfId="0" applyNumberFormat="1" applyFont="1" applyBorder="1"/>
    <xf numFmtId="1" fontId="9" fillId="0" borderId="1" xfId="0" applyNumberFormat="1" applyFont="1" applyBorder="1"/>
    <xf numFmtId="167" fontId="9" fillId="0" borderId="1" xfId="0" applyNumberFormat="1" applyFont="1" applyBorder="1"/>
    <xf numFmtId="0" fontId="10" fillId="5" borderId="0" xfId="0" applyFont="1" applyFill="1"/>
    <xf numFmtId="168" fontId="10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F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C842"/>
      <rgbColor rgb="FFFF9900"/>
      <rgbColor rgb="FFFF6600"/>
      <rgbColor rgb="FF666666"/>
      <rgbColor rgb="FF969696"/>
      <rgbColor rgb="FF1B3B6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42" customWidth="1"/>
    <col min="2" max="2" width="14" customWidth="1"/>
    <col min="3" max="3" width="60" customWidth="1"/>
  </cols>
  <sheetData>
    <row r="1" spans="1:6" ht="18" customHeight="1" x14ac:dyDescent="0.2">
      <c r="A1" s="2" t="s">
        <v>0</v>
      </c>
      <c r="B1" s="2"/>
      <c r="C1" s="2"/>
      <c r="D1" s="2"/>
      <c r="E1" s="2"/>
      <c r="F1" s="2"/>
    </row>
    <row r="2" spans="1:6" ht="15" customHeight="1" x14ac:dyDescent="0.2">
      <c r="A2" s="1" t="s">
        <v>1</v>
      </c>
      <c r="B2" s="1"/>
      <c r="C2" s="1"/>
      <c r="D2" s="1"/>
      <c r="E2" s="1"/>
      <c r="F2" s="1"/>
    </row>
    <row r="4" spans="1:6" ht="15" customHeight="1" x14ac:dyDescent="0.2">
      <c r="A4" s="4" t="s">
        <v>2</v>
      </c>
    </row>
    <row r="5" spans="1:6" ht="15" customHeight="1" x14ac:dyDescent="0.2">
      <c r="A5" s="5" t="s">
        <v>3</v>
      </c>
      <c r="B5" s="5" t="s">
        <v>4</v>
      </c>
      <c r="C5" s="5" t="s">
        <v>5</v>
      </c>
    </row>
    <row r="6" spans="1:6" ht="15" customHeight="1" x14ac:dyDescent="0.2">
      <c r="A6" s="6" t="s">
        <v>6</v>
      </c>
      <c r="B6" s="7">
        <v>3</v>
      </c>
      <c r="C6" s="3" t="s">
        <v>7</v>
      </c>
    </row>
    <row r="7" spans="1:6" ht="15" customHeight="1" x14ac:dyDescent="0.2">
      <c r="A7" s="6" t="s">
        <v>8</v>
      </c>
      <c r="B7" s="7">
        <v>15</v>
      </c>
      <c r="C7" s="3" t="s">
        <v>9</v>
      </c>
    </row>
    <row r="9" spans="1:6" ht="15" customHeight="1" x14ac:dyDescent="0.2">
      <c r="A9" s="4" t="s">
        <v>10</v>
      </c>
    </row>
    <row r="10" spans="1:6" ht="15" customHeight="1" x14ac:dyDescent="0.2">
      <c r="A10" s="5" t="s">
        <v>3</v>
      </c>
      <c r="B10" s="5" t="s">
        <v>4</v>
      </c>
      <c r="C10" s="5" t="s">
        <v>5</v>
      </c>
    </row>
    <row r="11" spans="1:6" ht="15" customHeight="1" x14ac:dyDescent="0.2">
      <c r="A11" s="6" t="s">
        <v>11</v>
      </c>
      <c r="B11" s="8">
        <v>3000</v>
      </c>
      <c r="C11" s="3" t="s">
        <v>12</v>
      </c>
    </row>
    <row r="12" spans="1:6" ht="15" customHeight="1" x14ac:dyDescent="0.2">
      <c r="A12" s="6" t="s">
        <v>13</v>
      </c>
      <c r="B12" s="8">
        <v>1000</v>
      </c>
      <c r="C12" s="3" t="s">
        <v>14</v>
      </c>
    </row>
    <row r="13" spans="1:6" ht="15" customHeight="1" x14ac:dyDescent="0.2">
      <c r="A13" s="6" t="s">
        <v>15</v>
      </c>
      <c r="B13" s="8">
        <v>2</v>
      </c>
      <c r="C13" s="3" t="s">
        <v>16</v>
      </c>
    </row>
    <row r="15" spans="1:6" ht="15" customHeight="1" x14ac:dyDescent="0.2">
      <c r="A15" s="4" t="s">
        <v>17</v>
      </c>
    </row>
    <row r="16" spans="1:6" ht="15" customHeight="1" x14ac:dyDescent="0.2">
      <c r="A16" s="5" t="s">
        <v>3</v>
      </c>
      <c r="B16" s="5" t="s">
        <v>4</v>
      </c>
      <c r="C16" s="5" t="s">
        <v>5</v>
      </c>
    </row>
    <row r="17" spans="1:3" ht="15" customHeight="1" x14ac:dyDescent="0.2">
      <c r="A17" s="6" t="s">
        <v>18</v>
      </c>
      <c r="B17" s="8">
        <v>10</v>
      </c>
      <c r="C17" s="3" t="s">
        <v>19</v>
      </c>
    </row>
    <row r="18" spans="1:3" ht="15" customHeight="1" x14ac:dyDescent="0.2">
      <c r="A18" s="6" t="s">
        <v>20</v>
      </c>
      <c r="B18" s="8">
        <v>20</v>
      </c>
      <c r="C18" s="3" t="s">
        <v>21</v>
      </c>
    </row>
    <row r="19" spans="1:3" ht="15" customHeight="1" x14ac:dyDescent="0.2">
      <c r="A19" s="6" t="s">
        <v>22</v>
      </c>
      <c r="B19" s="8">
        <v>20</v>
      </c>
      <c r="C19" s="3" t="s">
        <v>23</v>
      </c>
    </row>
    <row r="21" spans="1:3" ht="15" customHeight="1" x14ac:dyDescent="0.2">
      <c r="A21" s="4" t="s">
        <v>24</v>
      </c>
    </row>
    <row r="22" spans="1:3" ht="15" customHeight="1" x14ac:dyDescent="0.2">
      <c r="A22" s="5" t="s">
        <v>3</v>
      </c>
      <c r="B22" s="5" t="s">
        <v>25</v>
      </c>
      <c r="C22" s="5" t="s">
        <v>5</v>
      </c>
    </row>
    <row r="23" spans="1:3" ht="15" customHeight="1" x14ac:dyDescent="0.2">
      <c r="A23" s="6" t="s">
        <v>26</v>
      </c>
      <c r="B23" s="9">
        <v>20</v>
      </c>
      <c r="C23" s="3" t="s">
        <v>27</v>
      </c>
    </row>
    <row r="24" spans="1:3" ht="15" customHeight="1" x14ac:dyDescent="0.2">
      <c r="A24" s="6" t="s">
        <v>28</v>
      </c>
      <c r="B24" s="9">
        <v>20</v>
      </c>
      <c r="C24" s="3" t="s">
        <v>27</v>
      </c>
    </row>
    <row r="25" spans="1:3" ht="15" customHeight="1" x14ac:dyDescent="0.2">
      <c r="A25" s="6" t="s">
        <v>29</v>
      </c>
      <c r="B25" s="9">
        <v>20</v>
      </c>
      <c r="C25" s="3" t="s">
        <v>30</v>
      </c>
    </row>
    <row r="26" spans="1:3" ht="15" customHeight="1" x14ac:dyDescent="0.2">
      <c r="A26" s="6" t="s">
        <v>31</v>
      </c>
      <c r="B26" s="9">
        <v>20</v>
      </c>
      <c r="C26" s="3" t="s">
        <v>32</v>
      </c>
    </row>
    <row r="27" spans="1:3" ht="15" customHeight="1" x14ac:dyDescent="0.2">
      <c r="A27" s="6" t="s">
        <v>33</v>
      </c>
      <c r="B27" s="9">
        <v>25</v>
      </c>
      <c r="C27" s="3" t="s">
        <v>34</v>
      </c>
    </row>
    <row r="29" spans="1:3" ht="15" customHeight="1" x14ac:dyDescent="0.2">
      <c r="A29" s="4" t="s">
        <v>35</v>
      </c>
    </row>
    <row r="30" spans="1:3" ht="15" customHeight="1" x14ac:dyDescent="0.2">
      <c r="A30" s="5" t="s">
        <v>3</v>
      </c>
      <c r="B30" s="5" t="s">
        <v>4</v>
      </c>
      <c r="C30" s="5" t="s">
        <v>5</v>
      </c>
    </row>
    <row r="31" spans="1:3" ht="15" customHeight="1" x14ac:dyDescent="0.2">
      <c r="A31" s="6" t="s">
        <v>36</v>
      </c>
      <c r="B31" s="9">
        <v>30</v>
      </c>
    </row>
    <row r="32" spans="1:3" ht="15" customHeight="1" x14ac:dyDescent="0.2">
      <c r="A32" s="6" t="s">
        <v>37</v>
      </c>
      <c r="B32" s="9">
        <v>4</v>
      </c>
    </row>
    <row r="33" spans="1:2" ht="15" customHeight="1" x14ac:dyDescent="0.2">
      <c r="A33" s="6" t="s">
        <v>38</v>
      </c>
      <c r="B33" s="10">
        <v>0.15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selection activeCell="B17" sqref="B17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3" width="44" customWidth="1"/>
  </cols>
  <sheetData>
    <row r="1" spans="1:6" ht="18" customHeight="1" x14ac:dyDescent="0.2">
      <c r="A1" s="2" t="s">
        <v>39</v>
      </c>
      <c r="B1" s="2"/>
      <c r="C1" s="2"/>
      <c r="D1" s="2"/>
      <c r="E1" s="2"/>
      <c r="F1" s="2"/>
    </row>
    <row r="2" spans="1:6" ht="15" customHeight="1" x14ac:dyDescent="0.2">
      <c r="A2" s="1" t="s">
        <v>40</v>
      </c>
      <c r="B2" s="1"/>
      <c r="C2" s="1"/>
      <c r="D2" s="1"/>
      <c r="E2" s="1"/>
      <c r="F2" s="1"/>
    </row>
    <row r="4" spans="1:6" ht="15" customHeight="1" x14ac:dyDescent="0.2">
      <c r="A4" s="4" t="s">
        <v>41</v>
      </c>
    </row>
    <row r="5" spans="1:6" ht="15" customHeight="1" x14ac:dyDescent="0.2">
      <c r="A5" s="5" t="s">
        <v>42</v>
      </c>
      <c r="B5" s="5" t="s">
        <v>43</v>
      </c>
      <c r="C5" s="5" t="s">
        <v>44</v>
      </c>
    </row>
    <row r="6" spans="1:6" ht="15" customHeight="1" x14ac:dyDescent="0.2">
      <c r="A6" s="6" t="s">
        <v>45</v>
      </c>
      <c r="B6" s="11">
        <v>0.04</v>
      </c>
      <c r="C6" s="3" t="s">
        <v>46</v>
      </c>
    </row>
    <row r="7" spans="1:6" ht="15" customHeight="1" x14ac:dyDescent="0.2">
      <c r="A7" s="6" t="s">
        <v>47</v>
      </c>
      <c r="B7" s="11">
        <v>0</v>
      </c>
      <c r="C7" s="3" t="s">
        <v>48</v>
      </c>
    </row>
    <row r="8" spans="1:6" ht="15" customHeight="1" x14ac:dyDescent="0.2">
      <c r="A8" s="6" t="s">
        <v>49</v>
      </c>
      <c r="B8" s="11">
        <v>3.5</v>
      </c>
      <c r="C8" s="3" t="s">
        <v>50</v>
      </c>
    </row>
    <row r="9" spans="1:6" ht="15" customHeight="1" x14ac:dyDescent="0.2">
      <c r="A9" s="6" t="s">
        <v>51</v>
      </c>
      <c r="B9" s="11">
        <v>0.61</v>
      </c>
      <c r="C9" s="3" t="s">
        <v>52</v>
      </c>
    </row>
    <row r="10" spans="1:6" ht="15" customHeight="1" x14ac:dyDescent="0.2">
      <c r="A10" s="12" t="s">
        <v>53</v>
      </c>
      <c r="B10" s="13">
        <f>SUM(B6:B9)</f>
        <v>4.1500000000000004</v>
      </c>
    </row>
    <row r="12" spans="1:6" ht="15" customHeight="1" x14ac:dyDescent="0.2">
      <c r="A12" s="4" t="s">
        <v>54</v>
      </c>
    </row>
    <row r="13" spans="1:6" ht="15" customHeight="1" x14ac:dyDescent="0.2">
      <c r="A13" s="5" t="s">
        <v>3</v>
      </c>
      <c r="B13" s="5" t="s">
        <v>43</v>
      </c>
      <c r="C13" s="5" t="s">
        <v>55</v>
      </c>
    </row>
    <row r="14" spans="1:6" ht="15" customHeight="1" x14ac:dyDescent="0.2">
      <c r="A14" s="6" t="s">
        <v>56</v>
      </c>
      <c r="B14" s="11">
        <v>0</v>
      </c>
      <c r="C14" s="3" t="s">
        <v>57</v>
      </c>
    </row>
    <row r="15" spans="1:6" ht="15" customHeight="1" x14ac:dyDescent="0.2">
      <c r="A15" s="6" t="s">
        <v>58</v>
      </c>
      <c r="B15" s="14">
        <v>20</v>
      </c>
      <c r="C15" s="3" t="s">
        <v>59</v>
      </c>
    </row>
    <row r="16" spans="1:6" ht="15" customHeight="1" x14ac:dyDescent="0.2">
      <c r="A16" s="6" t="s">
        <v>60</v>
      </c>
      <c r="B16" s="14">
        <v>60</v>
      </c>
      <c r="C16" s="3" t="s">
        <v>61</v>
      </c>
    </row>
    <row r="17" spans="1:3" ht="15" customHeight="1" x14ac:dyDescent="0.2">
      <c r="A17" s="6" t="s">
        <v>62</v>
      </c>
      <c r="B17" s="15">
        <f>Assumptions!$B$23*3</f>
        <v>60</v>
      </c>
      <c r="C17" s="3" t="s">
        <v>63</v>
      </c>
    </row>
    <row r="18" spans="1:3" ht="15" customHeight="1" x14ac:dyDescent="0.2">
      <c r="A18" s="6" t="s">
        <v>64</v>
      </c>
      <c r="B18" s="15">
        <f>Assumptions!$B$24*3</f>
        <v>60</v>
      </c>
      <c r="C18" s="3" t="s">
        <v>63</v>
      </c>
    </row>
    <row r="19" spans="1:3" ht="15" customHeight="1" x14ac:dyDescent="0.2">
      <c r="A19" s="12" t="s">
        <v>65</v>
      </c>
      <c r="B19" s="16">
        <f>SUM(B14:B18)</f>
        <v>200</v>
      </c>
    </row>
    <row r="21" spans="1:3" ht="15" customHeight="1" x14ac:dyDescent="0.2">
      <c r="A21" s="4" t="s">
        <v>66</v>
      </c>
    </row>
    <row r="22" spans="1:3" ht="15" customHeight="1" x14ac:dyDescent="0.2">
      <c r="A22" s="5" t="s">
        <v>3</v>
      </c>
      <c r="B22" s="5" t="s">
        <v>43</v>
      </c>
      <c r="C22" s="5" t="s">
        <v>55</v>
      </c>
    </row>
    <row r="23" spans="1:3" ht="15" customHeight="1" x14ac:dyDescent="0.2">
      <c r="A23" s="6" t="s">
        <v>67</v>
      </c>
      <c r="B23" s="14">
        <v>0</v>
      </c>
      <c r="C23" s="3" t="s">
        <v>68</v>
      </c>
    </row>
    <row r="25" spans="1:3" ht="15" customHeight="1" x14ac:dyDescent="0.2">
      <c r="A25" s="17" t="s">
        <v>69</v>
      </c>
      <c r="B25" s="18">
        <f>B10+B19+B23</f>
        <v>204.15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4" customWidth="1"/>
    <col min="2" max="4" width="16" customWidth="1"/>
    <col min="5" max="5" width="44" customWidth="1"/>
  </cols>
  <sheetData>
    <row r="1" spans="1:6" ht="18" customHeight="1" x14ac:dyDescent="0.2">
      <c r="A1" s="2" t="s">
        <v>70</v>
      </c>
      <c r="B1" s="2"/>
      <c r="C1" s="2"/>
      <c r="D1" s="2"/>
      <c r="E1" s="2"/>
      <c r="F1" s="2"/>
    </row>
    <row r="2" spans="1:6" ht="15" customHeight="1" x14ac:dyDescent="0.2">
      <c r="A2" s="1" t="s">
        <v>71</v>
      </c>
      <c r="B2" s="1"/>
      <c r="C2" s="1"/>
      <c r="D2" s="1"/>
      <c r="E2" s="1"/>
      <c r="F2" s="1"/>
    </row>
    <row r="4" spans="1:6" ht="15" customHeight="1" x14ac:dyDescent="0.2">
      <c r="A4" s="4" t="s">
        <v>72</v>
      </c>
    </row>
    <row r="5" spans="1:6" ht="15" customHeight="1" x14ac:dyDescent="0.2">
      <c r="A5" s="6" t="s">
        <v>73</v>
      </c>
      <c r="B5" s="19">
        <f>(Assumptions!$B$11/1000000)*Assumptions!$B$6</f>
        <v>9.0000000000000011E-3</v>
      </c>
    </row>
    <row r="6" spans="1:6" ht="15" customHeight="1" x14ac:dyDescent="0.2">
      <c r="A6" s="6" t="s">
        <v>74</v>
      </c>
      <c r="B6" s="19">
        <f>(Assumptions!$B$12/1000000)*Assumptions!$B$7</f>
        <v>1.4999999999999999E-2</v>
      </c>
    </row>
    <row r="7" spans="1:6" ht="15" customHeight="1" x14ac:dyDescent="0.2">
      <c r="A7" s="12" t="s">
        <v>72</v>
      </c>
      <c r="B7" s="13">
        <f>B5+B6</f>
        <v>2.4E-2</v>
      </c>
    </row>
    <row r="8" spans="1:6" ht="15" customHeight="1" x14ac:dyDescent="0.2">
      <c r="A8" s="12" t="s">
        <v>75</v>
      </c>
      <c r="B8" s="13">
        <f>B7*Assumptions!$B$13</f>
        <v>4.8000000000000001E-2</v>
      </c>
    </row>
    <row r="10" spans="1:6" ht="15" customHeight="1" x14ac:dyDescent="0.2">
      <c r="A10" s="4" t="s">
        <v>76</v>
      </c>
    </row>
    <row r="11" spans="1:6" ht="15" customHeight="1" x14ac:dyDescent="0.2">
      <c r="A11" s="5" t="s">
        <v>77</v>
      </c>
      <c r="B11" s="5" t="s">
        <v>78</v>
      </c>
      <c r="C11" s="5" t="s">
        <v>79</v>
      </c>
      <c r="D11" s="5" t="s">
        <v>80</v>
      </c>
      <c r="E11" s="5" t="s">
        <v>81</v>
      </c>
    </row>
    <row r="12" spans="1:6" ht="15" customHeight="1" x14ac:dyDescent="0.2">
      <c r="A12" s="6" t="s">
        <v>82</v>
      </c>
      <c r="B12" s="20">
        <f>Assumptions!$B$17</f>
        <v>10</v>
      </c>
      <c r="C12" s="21">
        <f>Assumptions!$B$19</f>
        <v>20</v>
      </c>
      <c r="D12" s="22">
        <f>B12*C12</f>
        <v>200</v>
      </c>
      <c r="E12" s="23">
        <f>D12*$B$8</f>
        <v>9.6</v>
      </c>
    </row>
    <row r="13" spans="1:6" ht="15" customHeight="1" x14ac:dyDescent="0.2">
      <c r="A13" s="6" t="s">
        <v>83</v>
      </c>
      <c r="B13" s="20">
        <f>(Assumptions!$B$17+Assumptions!$B$18)/2</f>
        <v>15</v>
      </c>
      <c r="C13" s="21">
        <f>Assumptions!$B$19</f>
        <v>20</v>
      </c>
      <c r="D13" s="22">
        <f>B13*C13</f>
        <v>300</v>
      </c>
      <c r="E13" s="23">
        <f>D13*$B$8</f>
        <v>14.4</v>
      </c>
    </row>
    <row r="14" spans="1:6" ht="15" customHeight="1" x14ac:dyDescent="0.2">
      <c r="A14" s="6" t="s">
        <v>84</v>
      </c>
      <c r="B14" s="20">
        <f>Assumptions!$B$18</f>
        <v>20</v>
      </c>
      <c r="C14" s="21">
        <f>Assumptions!$B$19</f>
        <v>20</v>
      </c>
      <c r="D14" s="22">
        <f>B14*C14</f>
        <v>400</v>
      </c>
      <c r="E14" s="23">
        <f>D14*$B$8</f>
        <v>19.2</v>
      </c>
    </row>
    <row r="16" spans="1:6" ht="15" customHeight="1" x14ac:dyDescent="0.2">
      <c r="A16" s="1" t="s">
        <v>85</v>
      </c>
      <c r="B16" s="1"/>
      <c r="C16" s="1"/>
      <c r="D16" s="1"/>
      <c r="E16" s="1"/>
    </row>
  </sheetData>
  <mergeCells count="3">
    <mergeCell ref="A1:F1"/>
    <mergeCell ref="A2:F2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50" customWidth="1"/>
  </cols>
  <sheetData>
    <row r="1" spans="1:6" ht="18" customHeight="1" x14ac:dyDescent="0.2">
      <c r="A1" s="2" t="s">
        <v>86</v>
      </c>
      <c r="B1" s="2"/>
      <c r="C1" s="2"/>
      <c r="D1" s="2"/>
      <c r="E1" s="2"/>
      <c r="F1" s="2"/>
    </row>
    <row r="2" spans="1:6" ht="15" customHeight="1" x14ac:dyDescent="0.2">
      <c r="A2" s="1" t="s">
        <v>87</v>
      </c>
      <c r="B2" s="1"/>
      <c r="C2" s="1"/>
      <c r="D2" s="1"/>
      <c r="E2" s="1"/>
      <c r="F2" s="1"/>
    </row>
    <row r="4" spans="1:6" ht="15" customHeight="1" x14ac:dyDescent="0.2">
      <c r="A4" s="4" t="s">
        <v>88</v>
      </c>
    </row>
    <row r="5" spans="1:6" ht="15" customHeight="1" x14ac:dyDescent="0.2">
      <c r="A5" s="6" t="s">
        <v>89</v>
      </c>
      <c r="B5" s="15">
        <f>'Actual Spend to Date'!B25</f>
        <v>204.15</v>
      </c>
    </row>
    <row r="7" spans="1:6" ht="15" customHeight="1" x14ac:dyDescent="0.2">
      <c r="A7" s="4" t="s">
        <v>90</v>
      </c>
    </row>
    <row r="8" spans="1:6" ht="15" customHeight="1" x14ac:dyDescent="0.2">
      <c r="A8" s="5" t="s">
        <v>3</v>
      </c>
      <c r="B8" s="5" t="s">
        <v>43</v>
      </c>
      <c r="C8" s="5" t="s">
        <v>55</v>
      </c>
    </row>
    <row r="9" spans="1:6" ht="15" customHeight="1" x14ac:dyDescent="0.2">
      <c r="A9" s="6" t="s">
        <v>91</v>
      </c>
      <c r="B9" s="19">
        <f>'Beta Cost Projection'!E13</f>
        <v>14.4</v>
      </c>
      <c r="C9" s="3" t="s">
        <v>92</v>
      </c>
    </row>
    <row r="10" spans="1:6" ht="15" customHeight="1" x14ac:dyDescent="0.2">
      <c r="A10" s="6" t="s">
        <v>93</v>
      </c>
      <c r="B10" s="15">
        <f>(Assumptions!$B$26+Assumptions!$B$27)*Assumptions!$B$32</f>
        <v>180</v>
      </c>
      <c r="C10" s="3" t="s">
        <v>94</v>
      </c>
    </row>
    <row r="11" spans="1:6" ht="15" customHeight="1" x14ac:dyDescent="0.2">
      <c r="A11" s="6" t="s">
        <v>95</v>
      </c>
      <c r="B11" s="15">
        <f>(Assumptions!$B$25+Assumptions!$B$23+Assumptions!$B$24)*Assumptions!$B$32</f>
        <v>240</v>
      </c>
      <c r="C11" s="3" t="s">
        <v>96</v>
      </c>
    </row>
    <row r="12" spans="1:6" ht="15" customHeight="1" x14ac:dyDescent="0.2">
      <c r="A12" s="6" t="s">
        <v>36</v>
      </c>
      <c r="B12" s="15">
        <f>Assumptions!$B$31</f>
        <v>30</v>
      </c>
      <c r="C12" s="3" t="s">
        <v>97</v>
      </c>
    </row>
    <row r="13" spans="1:6" ht="15" customHeight="1" x14ac:dyDescent="0.2">
      <c r="A13" s="12" t="s">
        <v>98</v>
      </c>
      <c r="B13" s="16">
        <f>SUM(B9:B12)</f>
        <v>464.4</v>
      </c>
    </row>
    <row r="14" spans="1:6" ht="15" customHeight="1" x14ac:dyDescent="0.2">
      <c r="A14" s="6" t="s">
        <v>99</v>
      </c>
      <c r="B14" s="15">
        <f>B13*Assumptions!$B$33</f>
        <v>69.66</v>
      </c>
      <c r="C14" s="3" t="s">
        <v>100</v>
      </c>
    </row>
    <row r="15" spans="1:6" ht="15" customHeight="1" x14ac:dyDescent="0.2">
      <c r="A15" s="12" t="s">
        <v>101</v>
      </c>
      <c r="B15" s="16">
        <f>B13+B14</f>
        <v>534.05999999999995</v>
      </c>
    </row>
    <row r="17" spans="1:3" ht="15.75" customHeight="1" x14ac:dyDescent="0.2">
      <c r="A17" s="24" t="s">
        <v>102</v>
      </c>
      <c r="B17" s="25">
        <f>B5+B15</f>
        <v>738.20999999999992</v>
      </c>
    </row>
    <row r="18" spans="1:3" ht="15" customHeight="1" x14ac:dyDescent="0.2">
      <c r="A18" s="1" t="s">
        <v>103</v>
      </c>
      <c r="B18" s="1"/>
      <c r="C18" s="1"/>
    </row>
  </sheetData>
  <mergeCells count="3">
    <mergeCell ref="A1:F1"/>
    <mergeCell ref="A2:F2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tabSelected="1" zoomScaleNormal="100" workbookViewId="0">
      <selection sqref="A1:F1"/>
    </sheetView>
  </sheetViews>
  <sheetFormatPr baseColWidth="10" defaultColWidth="8.6640625" defaultRowHeight="15" x14ac:dyDescent="0.2"/>
  <cols>
    <col min="1" max="1" width="40" customWidth="1"/>
    <col min="2" max="2" width="22" customWidth="1"/>
    <col min="3" max="3" width="46" customWidth="1"/>
  </cols>
  <sheetData>
    <row r="1" spans="1:6" ht="18" customHeight="1" x14ac:dyDescent="0.2">
      <c r="A1" s="2" t="s">
        <v>104</v>
      </c>
      <c r="B1" s="2"/>
      <c r="C1" s="2"/>
      <c r="D1" s="2"/>
      <c r="E1" s="2"/>
      <c r="F1" s="2"/>
    </row>
    <row r="2" spans="1:6" ht="15" customHeight="1" x14ac:dyDescent="0.2">
      <c r="A2" s="1" t="s">
        <v>105</v>
      </c>
      <c r="B2" s="1"/>
      <c r="C2" s="1"/>
      <c r="D2" s="1"/>
      <c r="E2" s="1"/>
      <c r="F2" s="1"/>
    </row>
    <row r="4" spans="1:6" ht="15" customHeight="1" x14ac:dyDescent="0.2">
      <c r="A4" s="5" t="s">
        <v>106</v>
      </c>
      <c r="B4" s="5" t="s">
        <v>107</v>
      </c>
      <c r="C4" s="5" t="s">
        <v>108</v>
      </c>
    </row>
    <row r="5" spans="1:6" ht="15" customHeight="1" x14ac:dyDescent="0.2">
      <c r="A5" s="6" t="s">
        <v>109</v>
      </c>
      <c r="B5" s="6" t="s">
        <v>110</v>
      </c>
      <c r="C5" s="3" t="s">
        <v>111</v>
      </c>
    </row>
    <row r="6" spans="1:6" ht="15" customHeight="1" x14ac:dyDescent="0.2">
      <c r="A6" s="6" t="s">
        <v>112</v>
      </c>
      <c r="B6" s="6" t="s">
        <v>113</v>
      </c>
      <c r="C6" s="3" t="s">
        <v>114</v>
      </c>
    </row>
    <row r="7" spans="1:6" ht="15" customHeight="1" x14ac:dyDescent="0.2">
      <c r="A7" s="6" t="s">
        <v>115</v>
      </c>
      <c r="B7" s="6" t="s">
        <v>116</v>
      </c>
      <c r="C7" s="3" t="s">
        <v>117</v>
      </c>
    </row>
    <row r="8" spans="1:6" ht="15" customHeight="1" x14ac:dyDescent="0.2">
      <c r="A8" s="6" t="s">
        <v>118</v>
      </c>
      <c r="B8" s="6" t="s">
        <v>116</v>
      </c>
      <c r="C8" s="3" t="s">
        <v>119</v>
      </c>
    </row>
    <row r="9" spans="1:6" ht="15" customHeight="1" x14ac:dyDescent="0.2">
      <c r="A9" s="6" t="s">
        <v>120</v>
      </c>
      <c r="B9" s="6" t="s">
        <v>121</v>
      </c>
      <c r="C9" s="3" t="s">
        <v>122</v>
      </c>
    </row>
    <row r="10" spans="1:6" ht="15" customHeight="1" x14ac:dyDescent="0.2">
      <c r="A10" s="6" t="s">
        <v>123</v>
      </c>
      <c r="B10" s="6" t="s">
        <v>124</v>
      </c>
      <c r="C10" s="3"/>
    </row>
    <row r="11" spans="1:6" ht="15" customHeight="1" x14ac:dyDescent="0.2">
      <c r="A11" s="6" t="s">
        <v>125</v>
      </c>
      <c r="B11" s="6" t="s">
        <v>126</v>
      </c>
      <c r="C11" s="3" t="s">
        <v>127</v>
      </c>
    </row>
    <row r="12" spans="1:6" ht="15" customHeight="1" x14ac:dyDescent="0.2">
      <c r="A12" s="6" t="s">
        <v>128</v>
      </c>
      <c r="B12" s="6" t="s">
        <v>129</v>
      </c>
      <c r="C12" s="3" t="s">
        <v>130</v>
      </c>
    </row>
    <row r="13" spans="1:6" ht="15" customHeight="1" x14ac:dyDescent="0.2">
      <c r="A13" s="6" t="s">
        <v>131</v>
      </c>
      <c r="B13" s="6" t="s">
        <v>132</v>
      </c>
      <c r="C13" s="3"/>
    </row>
    <row r="14" spans="1:6" ht="15" customHeight="1" x14ac:dyDescent="0.2">
      <c r="A14" s="6" t="s">
        <v>133</v>
      </c>
      <c r="B14" s="6" t="s">
        <v>134</v>
      </c>
      <c r="C14" s="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Actual Spend to Date</vt:lpstr>
      <vt:lpstr>Beta Cost Projection</vt:lpstr>
      <vt:lpstr>Funding Ask Summary</vt:lpstr>
      <vt:lpstr>Roadmap &amp;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 Chaffee</cp:lastModifiedBy>
  <cp:revision>0</cp:revision>
  <dcterms:created xsi:type="dcterms:W3CDTF">2026-08-08T17:18:09Z</dcterms:created>
  <dcterms:modified xsi:type="dcterms:W3CDTF">2026-08-08T17:34:05Z</dcterms:modified>
  <dc:language>en-US</dc:language>
</cp:coreProperties>
</file>