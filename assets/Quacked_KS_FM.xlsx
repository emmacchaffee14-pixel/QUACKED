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emmachaffee/Desktop/QUACKED/assets/"/>
    </mc:Choice>
  </mc:AlternateContent>
  <xr:revisionPtr revIDLastSave="0" documentId="8_{659B6BE3-FF64-8C46-BCA8-07E2DA4F3C73}" xr6:coauthVersionLast="47" xr6:coauthVersionMax="47" xr10:uidLastSave="{00000000-0000-0000-0000-000000000000}"/>
  <bookViews>
    <workbookView xWindow="1300" yWindow="680" windowWidth="26580" windowHeight="15560" tabRatio="500" activeTab="1" xr2:uid="{00000000-000D-0000-FFFF-FFFF00000000}"/>
  </bookViews>
  <sheets>
    <sheet name="Executive Summary" sheetId="1" r:id="rId1"/>
    <sheet name="Funding Ask Summary" sheetId="2" r:id="rId2"/>
    <sheet name="Actual Spend to Date" sheetId="3" r:id="rId3"/>
    <sheet name="Beta Cost Projection" sheetId="4" r:id="rId4"/>
    <sheet name="Assumptions" sheetId="5" r:id="rId5"/>
    <sheet name="Roadmap" sheetId="7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2" l="1"/>
  <c r="B9" i="2"/>
  <c r="C14" i="4"/>
  <c r="B14" i="4"/>
  <c r="D14" i="4" s="1"/>
  <c r="C13" i="4"/>
  <c r="B13" i="4"/>
  <c r="C12" i="4"/>
  <c r="B12" i="4"/>
  <c r="B6" i="4"/>
  <c r="B5" i="4"/>
  <c r="B18" i="3"/>
  <c r="B17" i="3"/>
  <c r="B19" i="3" s="1"/>
  <c r="B37" i="2" s="1"/>
  <c r="B10" i="3"/>
  <c r="B39" i="2"/>
  <c r="B38" i="2"/>
  <c r="B26" i="2"/>
  <c r="B25" i="2"/>
  <c r="B24" i="2"/>
  <c r="D12" i="4" l="1"/>
  <c r="B7" i="4"/>
  <c r="B8" i="4" s="1"/>
  <c r="B11" i="2" s="1"/>
  <c r="B25" i="3"/>
  <c r="B7" i="2" s="1"/>
  <c r="E14" i="4"/>
  <c r="D13" i="4"/>
  <c r="E12" i="4" l="1"/>
  <c r="B16" i="2"/>
  <c r="B19" i="2"/>
  <c r="B10" i="2"/>
  <c r="E13" i="4"/>
  <c r="B23" i="2" l="1"/>
  <c r="B27" i="2" s="1"/>
  <c r="B36" i="2"/>
  <c r="B28" i="2" l="1"/>
  <c r="B40" i="2" s="1"/>
  <c r="B41" i="2" s="1"/>
  <c r="B29" i="2" l="1"/>
  <c r="B31" i="2" s="1"/>
  <c r="B8" i="2" s="1"/>
  <c r="C39" i="2" l="1"/>
  <c r="C38" i="2"/>
  <c r="C37" i="2"/>
  <c r="C36" i="2"/>
  <c r="C40" i="2"/>
  <c r="C41" i="2" l="1"/>
</calcChain>
</file>

<file path=xl/sharedStrings.xml><?xml version="1.0" encoding="utf-8"?>
<sst xmlns="http://schemas.openxmlformats.org/spreadsheetml/2006/main" count="204" uniqueCount="169">
  <si>
    <t>Prepared for: UGA Kickstart Fund</t>
  </si>
  <si>
    <t>August 2026</t>
  </si>
  <si>
    <t>•  Funding Ask Summary — key metrics, founder contribution, funding-use breakdown, and total ask</t>
  </si>
  <si>
    <t>•  Actual Spend to Date — historical costs, sourced from the Anthropic Console and founder-reported subscriptions</t>
  </si>
  <si>
    <t>•  Beta Cost Projection — bottom-up, token-based estimate of API costs for the Sept-Dec 2026 beta window</t>
  </si>
  <si>
    <t>•  Assumptions — every input used across the model, in one editable place</t>
  </si>
  <si>
    <t>About Quacked</t>
  </si>
  <si>
    <t>All figures link to Actual Spend to Date, Beta Cost Projection, and Assumptions — nothing here is hardcoded.</t>
  </si>
  <si>
    <t>Key Metrics</t>
  </si>
  <si>
    <t>Metric</t>
  </si>
  <si>
    <t>Value</t>
  </si>
  <si>
    <t>Note</t>
  </si>
  <si>
    <t>Founder investment to date</t>
  </si>
  <si>
    <t>Included within the total ask below, not double-counted</t>
  </si>
  <si>
    <t>Total funding requested</t>
  </si>
  <si>
    <t>Covers money already spent + beta-phase operating costs through Dec 2026</t>
  </si>
  <si>
    <t>Estimated beta users (mid scenario)</t>
  </si>
  <si>
    <t>Estimated cases generated (mid scenario)</t>
  </si>
  <si>
    <t>Estimated API cost per case</t>
  </si>
  <si>
    <t>Beta window covered by this ask</t>
  </si>
  <si>
    <t>Founder Contribution</t>
  </si>
  <si>
    <t>Item</t>
  </si>
  <si>
    <t>Amount</t>
  </si>
  <si>
    <t>Cash invested to date (API + subscriptions + infra)</t>
  </si>
  <si>
    <t>Requested for reimbursement as part of the ask below (not additive)</t>
  </si>
  <si>
    <t>Total spend to date (API + subscriptions + infra)</t>
  </si>
  <si>
    <t>Beta Phase Costs (Sept - Dec 2026, mid scenario)</t>
  </si>
  <si>
    <t>Cost</t>
  </si>
  <si>
    <t>Beta API cost (mid scenario: ~15 users x 20 cases)</t>
  </si>
  <si>
    <t>From Beta Cost Projection tab, mid-scenario column</t>
  </si>
  <si>
    <t>Infra upgrade (Vercel Pro + Supabase Pro x beta duration)</t>
  </si>
  <si>
    <t>Needed once beta traffic exceeds free tiers</t>
  </si>
  <si>
    <t>Subscriptions during beta window (Cursor + Claude + ChatGPT x duration)</t>
  </si>
  <si>
    <t>Dev tool subscriptions held through the beta window</t>
  </si>
  <si>
    <t>AI content library generation (one-time case pre-generation)</t>
  </si>
  <si>
    <t>One-time cache-load run before beta</t>
  </si>
  <si>
    <t>Beta-phase subtotal</t>
  </si>
  <si>
    <t>Contingency buffer</t>
  </si>
  <si>
    <t>15% buffer per Assumptions tab</t>
  </si>
  <si>
    <t>Beta-phase total (with contingency)</t>
  </si>
  <si>
    <t>Funding Use Breakdown</t>
  </si>
  <si>
    <t>Category</t>
  </si>
  <si>
    <t>AI Infrastructure (Anthropic API, to date + beta)</t>
  </si>
  <si>
    <t>Case generation &amp; AI-wrapper calls across Fly, Dive, Swim, Exhibits</t>
  </si>
  <si>
    <t>Development Tools (Cursor, Claude, ChatGPT subscriptions)</t>
  </si>
  <si>
    <t>To-date subscriptions + subscriptions held through beta window</t>
  </si>
  <si>
    <t>Cloud Hosting (Vercel + Supabase)</t>
  </si>
  <si>
    <t>Upgrade from free tier once beta traffic requires it</t>
  </si>
  <si>
    <t>Content Library Generation (one-time)</t>
  </si>
  <si>
    <t>Pre-generates Fly + Business Interpretation case pool</t>
  </si>
  <si>
    <t>Contingency</t>
  </si>
  <si>
    <t>15% buffer on beta-phase costs</t>
  </si>
  <si>
    <t>Actual Spend to Date</t>
  </si>
  <si>
    <t>Anthropic API costs pulled directly from the Console cost dashboard. Subscription costs as reported by founder.</t>
  </si>
  <si>
    <t>Anthropic API Cost (Console)</t>
  </si>
  <si>
    <t>Period</t>
  </si>
  <si>
    <t>Source</t>
  </si>
  <si>
    <t>May 2026 (May 1 - Jun 1)</t>
  </si>
  <si>
    <t>Anthropic Console, Cost dashboard, range 2026-05-01 to 2026-06-01</t>
  </si>
  <si>
    <t>June 2026 (Jun 1 - Jul 1)</t>
  </si>
  <si>
    <t>Anthropic Console, Cost dashboard, range 2026-06-01 to 2026-07-01</t>
  </si>
  <si>
    <t>July 2026 (Jul 1 - Aug 1)</t>
  </si>
  <si>
    <t>Anthropic Console, Cost dashboard, range 2026-07-01 to 2026-08-01</t>
  </si>
  <si>
    <t>Aug 2026 (Aug 1 - Aug 8, partial month)</t>
  </si>
  <si>
    <t>Anthropic Console, Cost dashboard, range 2026-08-01 to 2026-08-08</t>
  </si>
  <si>
    <t>Total API cost to date</t>
  </si>
  <si>
    <t>Subscriptions &amp; Dev Tools</t>
  </si>
  <si>
    <t>Cursor — June 2026</t>
  </si>
  <si>
    <t>Founder-reported actual</t>
  </si>
  <si>
    <t>Cursor — July 2026</t>
  </si>
  <si>
    <t>Cursor — August 2026</t>
  </si>
  <si>
    <t>Founder-reported actual (higher usage month)</t>
  </si>
  <si>
    <t>Claude subscription, months held x rate</t>
  </si>
  <si>
    <t>ChatGPT subscription, months held x rate</t>
  </si>
  <si>
    <t>Infrastructure (Vercel / Supabase)</t>
  </si>
  <si>
    <t>Founder-confirmed: currently on free tiers, $0 to date</t>
  </si>
  <si>
    <t>Beta Cost Projection (Sept - Dec 2026)</t>
  </si>
  <si>
    <t>Cost per API call</t>
  </si>
  <si>
    <t>Input token cost</t>
  </si>
  <si>
    <t>Output token cost</t>
  </si>
  <si>
    <t>Cost per completed case (calls per case x cost per call)</t>
  </si>
  <si>
    <t>Scenario: Beta API Cost by Cohort Size</t>
  </si>
  <si>
    <t>Scenario</t>
  </si>
  <si>
    <t>Beta users</t>
  </si>
  <si>
    <t>Cases / user</t>
  </si>
  <si>
    <t>Total cases</t>
  </si>
  <si>
    <t>Total API cost</t>
  </si>
  <si>
    <t>Low</t>
  </si>
  <si>
    <t>Mid (avg of low/high)</t>
  </si>
  <si>
    <t>High</t>
  </si>
  <si>
    <t>Note: cases-per-user and calls-per-case are founder estimates flagged in Assumptions as unvalidated — treat this as a planning range, not a committed forecast.</t>
  </si>
  <si>
    <t>Anthropic API Pricing (Claude Sonnet 4.5)</t>
  </si>
  <si>
    <t>Source / Note</t>
  </si>
  <si>
    <t>Input price ($ per million tokens)</t>
  </si>
  <si>
    <t>Anthropic official: anthropic.com/news/claude-sonnet-4-5, verified Aug 2026</t>
  </si>
  <si>
    <t>Output price ($ per million tokens)</t>
  </si>
  <si>
    <t>Est. input tokens per API call</t>
  </si>
  <si>
    <t>Est. output tokens per API call</t>
  </si>
  <si>
    <t>Est. API calls per completed case</t>
  </si>
  <si>
    <t>Beta Cohort Assumptions</t>
  </si>
  <si>
    <t>Beta cohort size — low</t>
  </si>
  <si>
    <t>Founder estimate: 10-20 person beta, mixed recruiting-experience/no-experience for varied feedback</t>
  </si>
  <si>
    <t>Beta cohort size — high</t>
  </si>
  <si>
    <t>Founder estimate</t>
  </si>
  <si>
    <t>Est. cases per beta user</t>
  </si>
  <si>
    <t>Founder estimate, flagged as uncertain — validate against actual beta usage once live</t>
  </si>
  <si>
    <t>Non-API Recurring Costs</t>
  </si>
  <si>
    <t>Value ($/mo)</t>
  </si>
  <si>
    <t>Cursor — ongoing monthly rate</t>
  </si>
  <si>
    <t>Founder-confirmed: resets to $20/mo going forward (June was $20, Aug was $60 — see Actual Spend tab)</t>
  </si>
  <si>
    <t>Vercel Pro (post-beta-scale)</t>
  </si>
  <si>
    <t>Vercel official pricing, per seat/mo, verified Aug 2026</t>
  </si>
  <si>
    <t>Supabase Pro (post-beta-scale)</t>
  </si>
  <si>
    <t>Supabase official pricing, base/mo (usage overages not included), verified Aug 2026</t>
  </si>
  <si>
    <t>One-Time / Beta-Window Costs</t>
  </si>
  <si>
    <t>Contingency / buffer</t>
  </si>
  <si>
    <t>Target dates as of Aug 2026. Status column is a manual field — update as milestones complete.</t>
  </si>
  <si>
    <t>Milestone</t>
  </si>
  <si>
    <t>Target Date</t>
  </si>
  <si>
    <t>Notes</t>
  </si>
  <si>
    <t>Before beta invites</t>
  </si>
  <si>
    <t>Beta invites go out</t>
  </si>
  <si>
    <t>10-20 person cohort, mixed recruiting-experience/no-experience</t>
  </si>
  <si>
    <t>Beta feedback integration window opens</t>
  </si>
  <si>
    <t>By December 1, 2026 (latest)</t>
  </si>
  <si>
    <t>Beta feedback integration window closes</t>
  </si>
  <si>
    <t>Feedback fully integrated over winter break</t>
  </si>
  <si>
    <t>Second brief beta sprint + pricing strategy session</t>
  </si>
  <si>
    <t>Early 2027</t>
  </si>
  <si>
    <t>Informs final pricing model and recruiting-sprint bundle decisions</t>
  </si>
  <si>
    <t>Recruiting sprint bundles &amp; early pricing model finalized</t>
  </si>
  <si>
    <t>Early 2027, before full launch</t>
  </si>
  <si>
    <t>Full public launch</t>
  </si>
  <si>
    <t>Quacked is a gamified, drill-style consulting case-interview prep platform built around a full progression of quantitative drill styles — from foundational arithmetic fluency to full case-interview simulation — so learners can enter at whatever stage matches their experience and grow from there. Underneath every mode, a deterministic calculator owns all math and correctness while an AI-generated narrative wrapper owns prose and variation, pairing rigorous accuracy with adaptive, engaging practice at every step of that journey.</t>
  </si>
  <si>
    <t>Quacked | Financial Model</t>
  </si>
  <si>
    <t>What This Workbook Contains</t>
  </si>
  <si>
    <t>Claude subscription (Pro)</t>
  </si>
  <si>
    <t>ChatGPT subscription (Go)</t>
  </si>
  <si>
    <t>Library build day (case pre-generation; cache loading)</t>
  </si>
  <si>
    <t>Pulled from locally stored logs</t>
  </si>
  <si>
    <t>Approx. beta + testing window duration (months)</t>
  </si>
  <si>
    <t>Quacked — Model Assumptions</t>
  </si>
  <si>
    <t>Update here — everything downstream recalculates.</t>
  </si>
  <si>
    <t>Every input pulls from the Assumptions tab — change assumptions there, this recalculates.</t>
  </si>
  <si>
    <t>TOTAL SPEND TO DATE</t>
  </si>
  <si>
    <t>Total subscriptions to date</t>
  </si>
  <si>
    <t>Assumes 3 months held at Assumptions rate</t>
  </si>
  <si>
    <t>Founder-reported actual (normal usage month)</t>
  </si>
  <si>
    <t>Supabase spend to date</t>
  </si>
  <si>
    <t>Vercel spend to date</t>
  </si>
  <si>
    <t>In progress, August 2026</t>
  </si>
  <si>
    <t>By September 1, 2026 (latest)</t>
  </si>
  <si>
    <t>By December 31, 2026 (latest)</t>
  </si>
  <si>
    <t xml:space="preserve"> February - March 2027</t>
  </si>
  <si>
    <t>NA</t>
  </si>
  <si>
    <t>Sweat-equity commitment available upon request</t>
  </si>
  <si>
    <t>Roadmap — Beta Through Full Launch</t>
  </si>
  <si>
    <t>Total Coverage Need</t>
  </si>
  <si>
    <t>Total Coverage Need = money already spent building through beta + projected cost of running the beta through the Dec 2026 integration window, plus a 15% buffer.</t>
  </si>
  <si>
    <t>% of Need</t>
  </si>
  <si>
    <t>Sept - Dec 2026</t>
  </si>
  <si>
    <r>
      <t>Founder hours invested,</t>
    </r>
    <r>
      <rPr>
        <sz val="11"/>
        <color rgb="FFFF0000"/>
        <rFont val="Cambria"/>
        <family val="1"/>
      </rPr>
      <t xml:space="preserve"> not requested for reimbursement</t>
    </r>
  </si>
  <si>
    <t>Funding Summary</t>
  </si>
  <si>
    <t>•  Roadmap — timeline from today through full launch (Feb. - Mar. 2027)</t>
  </si>
  <si>
    <t>Per-Case API Usage</t>
  </si>
  <si>
    <t xml:space="preserve">Content Quality Enhancement </t>
  </si>
  <si>
    <t xml:space="preserve">AI Content Library Generation — pre-generate case content </t>
  </si>
  <si>
    <t>Realistic Case-Interview Simulation</t>
  </si>
  <si>
    <t>UI/UX  + Landing Polish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</si>
</sst>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\$#,##0;&quot;($&quot;#,##0\);\-"/>
    <numFmt numFmtId="165" formatCode="\$#,##0.00;&quot;($&quot;#,##0.00\);\-"/>
    <numFmt numFmtId="166" formatCode="0.0%"/>
    <numFmt numFmtId="167" formatCode="0.0"/>
    <numFmt numFmtId="168" formatCode="\$#,##0.00"/>
    <numFmt numFmtId="169" formatCode="\$#,##0"/>
  </numFmts>
  <fonts count="3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color rgb="FF1B3B6F"/>
      <name val="Cambria"/>
      <family val="1"/>
    </font>
    <font>
      <b/>
      <sz val="15"/>
      <color rgb="FF1B3B6F"/>
      <name val="Cambria"/>
      <family val="1"/>
    </font>
    <font>
      <i/>
      <sz val="9"/>
      <color rgb="FF666666"/>
      <name val="Cambria"/>
      <family val="1"/>
    </font>
    <font>
      <b/>
      <sz val="11"/>
      <color rgb="FF1B3B6F"/>
      <name val="Cambria"/>
      <family val="1"/>
    </font>
    <font>
      <b/>
      <sz val="12"/>
      <color rgb="FFFFFFFF"/>
      <name val="Cambria"/>
      <family val="1"/>
    </font>
    <font>
      <sz val="11"/>
      <color rgb="FF008000"/>
      <name val="Cambria"/>
      <family val="1"/>
    </font>
    <font>
      <i/>
      <sz val="11"/>
      <color rgb="FFFF0000"/>
      <name val="Cambria"/>
      <family val="1"/>
    </font>
    <font>
      <b/>
      <sz val="11"/>
      <color rgb="FF000000"/>
      <name val="Cambria"/>
      <family val="1"/>
    </font>
    <font>
      <sz val="11"/>
      <color rgb="FF000000"/>
      <name val="Cambria"/>
      <family val="1"/>
    </font>
    <font>
      <b/>
      <sz val="12"/>
      <color rgb="FF1B3B6F"/>
      <name val="Cambria"/>
      <family val="1"/>
    </font>
    <font>
      <i/>
      <sz val="28"/>
      <color rgb="FF1B3B6F"/>
      <name val="Cambria"/>
      <family val="1"/>
      <scheme val="major"/>
    </font>
    <font>
      <sz val="18"/>
      <color rgb="FFFF0000"/>
      <name val="Cambria"/>
      <family val="1"/>
    </font>
    <font>
      <i/>
      <sz val="11"/>
      <color rgb="FF666666"/>
      <name val="Cambria"/>
      <family val="1"/>
    </font>
    <font>
      <b/>
      <sz val="14"/>
      <color rgb="FF1B3B6F"/>
      <name val="Cambria"/>
      <family val="1"/>
    </font>
    <font>
      <sz val="14"/>
      <color theme="1"/>
      <name val="Calibri"/>
      <family val="2"/>
      <charset val="1"/>
    </font>
    <font>
      <sz val="11"/>
      <color theme="1"/>
      <name val="Cambria"/>
      <family val="1"/>
    </font>
    <font>
      <b/>
      <sz val="11"/>
      <color theme="0"/>
      <name val="Cambria"/>
      <family val="1"/>
    </font>
    <font>
      <b/>
      <sz val="12"/>
      <color theme="0"/>
      <name val="Cambria"/>
      <family val="1"/>
    </font>
    <font>
      <b/>
      <sz val="15"/>
      <color theme="3"/>
      <name val="Cambria"/>
      <family val="1"/>
    </font>
    <font>
      <b/>
      <i/>
      <sz val="11"/>
      <color rgb="FF1B3B6F"/>
      <name val="Cambria"/>
      <family val="1"/>
    </font>
    <font>
      <b/>
      <sz val="11"/>
      <color theme="1"/>
      <name val="Cambria"/>
      <family val="1"/>
    </font>
    <font>
      <b/>
      <sz val="12"/>
      <color theme="1"/>
      <name val="Cambria"/>
      <family val="1"/>
    </font>
    <font>
      <i/>
      <sz val="11"/>
      <color theme="1"/>
      <name val="Cambria"/>
      <family val="1"/>
    </font>
    <font>
      <b/>
      <sz val="13"/>
      <color theme="1"/>
      <name val="Cambria"/>
      <family val="1"/>
    </font>
    <font>
      <sz val="11"/>
      <color rgb="FFFF0000"/>
      <name val="Cambria"/>
      <family val="1"/>
    </font>
    <font>
      <b/>
      <sz val="18"/>
      <color rgb="FF1B3B6F"/>
      <name val="Cambria"/>
      <family val="1"/>
    </font>
    <font>
      <sz val="14"/>
      <color theme="1"/>
      <name val="Cambria"/>
      <family val="1"/>
    </font>
    <font>
      <b/>
      <sz val="16"/>
      <color rgb="FFFFF12C"/>
      <name val="Cambria"/>
      <family val="1"/>
    </font>
    <font>
      <b/>
      <sz val="14"/>
      <color theme="0"/>
      <name val="Cambria"/>
      <family val="1"/>
    </font>
  </fonts>
  <fills count="19">
    <fill>
      <patternFill patternType="none"/>
    </fill>
    <fill>
      <patternFill patternType="gray125"/>
    </fill>
    <fill>
      <patternFill patternType="solid">
        <fgColor rgb="FF1B3B6F"/>
        <bgColor rgb="FF333399"/>
      </patternFill>
    </fill>
    <fill>
      <patternFill patternType="solid">
        <fgColor rgb="FFDCEEDC"/>
        <bgColor rgb="FFEDEDED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12C"/>
        <bgColor rgb="FFFFFF00"/>
      </patternFill>
    </fill>
    <fill>
      <patternFill patternType="solid">
        <fgColor rgb="FFFFF12C"/>
        <bgColor indexed="64"/>
      </patternFill>
    </fill>
    <fill>
      <patternFill patternType="solid">
        <fgColor theme="3"/>
        <bgColor rgb="FF333399"/>
      </patternFill>
    </fill>
    <fill>
      <patternFill patternType="solid">
        <fgColor theme="0"/>
        <bgColor indexed="64"/>
      </patternFill>
    </fill>
    <fill>
      <patternFill patternType="solid">
        <fgColor rgb="FFFFF12C"/>
        <bgColor rgb="FFEDEDED"/>
      </patternFill>
    </fill>
    <fill>
      <patternFill patternType="solid">
        <fgColor theme="0" tint="-4.9989318521683403E-2"/>
        <bgColor rgb="FFEDEDED"/>
      </patternFill>
    </fill>
    <fill>
      <patternFill patternType="solid">
        <fgColor rgb="FFFFF12C"/>
        <bgColor rgb="FFF7F4EC"/>
      </patternFill>
    </fill>
    <fill>
      <patternFill patternType="solid">
        <fgColor theme="0" tint="-4.9989318521683403E-2"/>
        <bgColor rgb="FFDCE6F1"/>
      </patternFill>
    </fill>
    <fill>
      <patternFill patternType="solid">
        <fgColor rgb="FFF2F2F2"/>
        <bgColor rgb="FF000000"/>
      </patternFill>
    </fill>
    <fill>
      <patternFill patternType="solid">
        <fgColor rgb="FFFFF12C"/>
        <bgColor rgb="FFFFCC99"/>
      </patternFill>
    </fill>
    <fill>
      <patternFill patternType="solid">
        <fgColor rgb="FFDCEEDC"/>
        <bgColor rgb="FFF7F4EC"/>
      </patternFill>
    </fill>
    <fill>
      <patternFill patternType="solid">
        <fgColor rgb="FFDCEEDC"/>
        <bgColor indexed="64"/>
      </patternFill>
    </fill>
    <fill>
      <patternFill patternType="solid">
        <fgColor rgb="FFF2F2F2"/>
        <bgColor rgb="FFDCE6F1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rgb="FFCCCCCC"/>
      </right>
      <top/>
      <bottom style="thin">
        <color theme="3"/>
      </bottom>
      <diagonal/>
    </border>
    <border>
      <left style="thin">
        <color rgb="FFCCCCCC"/>
      </left>
      <right/>
      <top/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/>
      <bottom style="thin">
        <color theme="3"/>
      </bottom>
      <diagonal/>
    </border>
    <border>
      <left style="thin">
        <color indexed="64"/>
      </left>
      <right style="thin">
        <color theme="3"/>
      </right>
      <top style="thin">
        <color indexed="64"/>
      </top>
      <bottom style="thin">
        <color theme="3"/>
      </bottom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thin">
        <color rgb="FF1F497D"/>
      </bottom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97">
    <xf numFmtId="0" fontId="0" fillId="0" borderId="0" xfId="0"/>
    <xf numFmtId="0" fontId="4" fillId="0" borderId="0" xfId="0" applyFont="1"/>
    <xf numFmtId="0" fontId="3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6" fillId="2" borderId="3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15" fillId="0" borderId="0" xfId="0" applyFont="1"/>
    <xf numFmtId="0" fontId="16" fillId="0" borderId="0" xfId="0" applyFont="1"/>
    <xf numFmtId="0" fontId="17" fillId="7" borderId="3" xfId="1" applyNumberFormat="1" applyFont="1" applyFill="1" applyBorder="1"/>
    <xf numFmtId="168" fontId="17" fillId="6" borderId="9" xfId="0" applyNumberFormat="1" applyFont="1" applyFill="1" applyBorder="1"/>
    <xf numFmtId="0" fontId="17" fillId="6" borderId="3" xfId="0" applyFont="1" applyFill="1" applyBorder="1"/>
    <xf numFmtId="169" fontId="17" fillId="6" borderId="3" xfId="0" applyNumberFormat="1" applyFont="1" applyFill="1" applyBorder="1"/>
    <xf numFmtId="169" fontId="17" fillId="6" borderId="8" xfId="0" applyNumberFormat="1" applyFont="1" applyFill="1" applyBorder="1"/>
    <xf numFmtId="169" fontId="17" fillId="6" borderId="9" xfId="0" applyNumberFormat="1" applyFont="1" applyFill="1" applyBorder="1"/>
    <xf numFmtId="169" fontId="17" fillId="6" borderId="10" xfId="0" applyNumberFormat="1" applyFont="1" applyFill="1" applyBorder="1"/>
    <xf numFmtId="169" fontId="17" fillId="6" borderId="5" xfId="0" applyNumberFormat="1" applyFont="1" applyFill="1" applyBorder="1"/>
    <xf numFmtId="166" fontId="17" fillId="6" borderId="3" xfId="0" applyNumberFormat="1" applyFont="1" applyFill="1" applyBorder="1"/>
    <xf numFmtId="0" fontId="15" fillId="0" borderId="0" xfId="0" applyFont="1"/>
    <xf numFmtId="0" fontId="4" fillId="0" borderId="0" xfId="0" applyFont="1" applyAlignment="1"/>
    <xf numFmtId="0" fontId="20" fillId="9" borderId="0" xfId="0" applyFont="1" applyFill="1" applyBorder="1" applyAlignment="1"/>
    <xf numFmtId="0" fontId="4" fillId="0" borderId="0" xfId="0" applyFont="1" applyBorder="1" applyAlignment="1"/>
    <xf numFmtId="0" fontId="0" fillId="0" borderId="0" xfId="0" applyBorder="1"/>
    <xf numFmtId="0" fontId="21" fillId="0" borderId="0" xfId="0" applyFont="1" applyBorder="1" applyAlignment="1">
      <alignment horizontal="center"/>
    </xf>
    <xf numFmtId="0" fontId="19" fillId="8" borderId="3" xfId="0" applyFont="1" applyFill="1" applyBorder="1" applyAlignment="1">
      <alignment horizontal="left" vertical="center"/>
    </xf>
    <xf numFmtId="0" fontId="18" fillId="4" borderId="3" xfId="0" applyFont="1" applyFill="1" applyBorder="1" applyAlignment="1">
      <alignment horizontal="center"/>
    </xf>
    <xf numFmtId="1" fontId="17" fillId="10" borderId="3" xfId="0" applyNumberFormat="1" applyFont="1" applyFill="1" applyBorder="1"/>
    <xf numFmtId="165" fontId="17" fillId="10" borderId="3" xfId="0" applyNumberFormat="1" applyFont="1" applyFill="1" applyBorder="1"/>
    <xf numFmtId="165" fontId="22" fillId="10" borderId="3" xfId="0" applyNumberFormat="1" applyFont="1" applyFill="1" applyBorder="1"/>
    <xf numFmtId="167" fontId="17" fillId="10" borderId="3" xfId="0" applyNumberFormat="1" applyFont="1" applyFill="1" applyBorder="1"/>
    <xf numFmtId="0" fontId="0" fillId="5" borderId="3" xfId="0" applyFill="1" applyBorder="1"/>
    <xf numFmtId="0" fontId="9" fillId="11" borderId="3" xfId="0" applyFont="1" applyFill="1" applyBorder="1"/>
    <xf numFmtId="0" fontId="16" fillId="5" borderId="0" xfId="0" applyFont="1" applyFill="1"/>
    <xf numFmtId="0" fontId="0" fillId="5" borderId="9" xfId="0" applyFill="1" applyBorder="1"/>
    <xf numFmtId="0" fontId="0" fillId="5" borderId="12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4" xfId="0" applyFill="1" applyBorder="1"/>
    <xf numFmtId="0" fontId="0" fillId="5" borderId="14" xfId="0" applyFill="1" applyBorder="1"/>
    <xf numFmtId="0" fontId="5" fillId="0" borderId="0" xfId="0" applyFont="1" applyBorder="1" applyAlignment="1">
      <alignment horizontal="center"/>
    </xf>
    <xf numFmtId="164" fontId="17" fillId="12" borderId="3" xfId="0" applyNumberFormat="1" applyFont="1" applyFill="1" applyBorder="1"/>
    <xf numFmtId="0" fontId="11" fillId="11" borderId="3" xfId="0" applyFont="1" applyFill="1" applyBorder="1"/>
    <xf numFmtId="164" fontId="23" fillId="12" borderId="3" xfId="0" applyNumberFormat="1" applyFont="1" applyFill="1" applyBorder="1"/>
    <xf numFmtId="165" fontId="17" fillId="12" borderId="3" xfId="0" applyNumberFormat="1" applyFont="1" applyFill="1" applyBorder="1"/>
    <xf numFmtId="164" fontId="22" fillId="12" borderId="3" xfId="0" applyNumberFormat="1" applyFont="1" applyFill="1" applyBorder="1"/>
    <xf numFmtId="165" fontId="22" fillId="12" borderId="3" xfId="0" applyNumberFormat="1" applyFont="1" applyFill="1" applyBorder="1"/>
    <xf numFmtId="0" fontId="17" fillId="13" borderId="3" xfId="0" applyFont="1" applyFill="1" applyBorder="1"/>
    <xf numFmtId="0" fontId="24" fillId="13" borderId="3" xfId="0" applyFont="1" applyFill="1" applyBorder="1"/>
    <xf numFmtId="0" fontId="22" fillId="5" borderId="3" xfId="0" applyFont="1" applyFill="1" applyBorder="1"/>
    <xf numFmtId="0" fontId="17" fillId="5" borderId="3" xfId="0" applyFont="1" applyFill="1" applyBorder="1"/>
    <xf numFmtId="0" fontId="24" fillId="5" borderId="3" xfId="0" applyFont="1" applyFill="1" applyBorder="1"/>
    <xf numFmtId="0" fontId="10" fillId="14" borderId="16" xfId="0" applyFont="1" applyFill="1" applyBorder="1"/>
    <xf numFmtId="164" fontId="7" fillId="3" borderId="3" xfId="0" applyNumberFormat="1" applyFont="1" applyFill="1" applyBorder="1"/>
    <xf numFmtId="166" fontId="10" fillId="0" borderId="3" xfId="0" applyNumberFormat="1" applyFont="1" applyBorder="1"/>
    <xf numFmtId="1" fontId="7" fillId="3" borderId="9" xfId="0" applyNumberFormat="1" applyFont="1" applyFill="1" applyBorder="1" applyAlignment="1">
      <alignment horizontal="right"/>
    </xf>
    <xf numFmtId="1" fontId="7" fillId="3" borderId="13" xfId="0" applyNumberFormat="1" applyFont="1" applyFill="1" applyBorder="1" applyAlignment="1">
      <alignment horizontal="right"/>
    </xf>
    <xf numFmtId="165" fontId="7" fillId="3" borderId="9" xfId="0" applyNumberFormat="1" applyFont="1" applyFill="1" applyBorder="1" applyAlignment="1">
      <alignment horizontal="right"/>
    </xf>
    <xf numFmtId="165" fontId="7" fillId="3" borderId="13" xfId="0" applyNumberFormat="1" applyFont="1" applyFill="1" applyBorder="1" applyAlignment="1">
      <alignment horizontal="right"/>
    </xf>
    <xf numFmtId="0" fontId="7" fillId="3" borderId="9" xfId="0" applyFont="1" applyFill="1" applyBorder="1" applyAlignment="1">
      <alignment horizontal="right"/>
    </xf>
    <xf numFmtId="0" fontId="7" fillId="3" borderId="13" xfId="0" applyFont="1" applyFill="1" applyBorder="1" applyAlignment="1">
      <alignment horizontal="right"/>
    </xf>
    <xf numFmtId="164" fontId="7" fillId="3" borderId="9" xfId="0" applyNumberFormat="1" applyFont="1" applyFill="1" applyBorder="1" applyAlignment="1">
      <alignment horizontal="right"/>
    </xf>
    <xf numFmtId="164" fontId="7" fillId="3" borderId="13" xfId="0" applyNumberFormat="1" applyFont="1" applyFill="1" applyBorder="1" applyAlignment="1">
      <alignment horizontal="right"/>
    </xf>
    <xf numFmtId="164" fontId="9" fillId="3" borderId="9" xfId="0" applyNumberFormat="1" applyFont="1" applyFill="1" applyBorder="1" applyAlignment="1">
      <alignment horizontal="right"/>
    </xf>
    <xf numFmtId="164" fontId="9" fillId="3" borderId="13" xfId="0" applyNumberFormat="1" applyFont="1" applyFill="1" applyBorder="1" applyAlignment="1">
      <alignment horizontal="right"/>
    </xf>
    <xf numFmtId="0" fontId="0" fillId="5" borderId="3" xfId="0" applyFont="1" applyFill="1" applyBorder="1"/>
    <xf numFmtId="0" fontId="24" fillId="5" borderId="6" xfId="0" applyFont="1" applyFill="1" applyBorder="1"/>
    <xf numFmtId="0" fontId="24" fillId="5" borderId="7" xfId="0" applyFont="1" applyFill="1" applyBorder="1"/>
    <xf numFmtId="164" fontId="22" fillId="15" borderId="3" xfId="0" applyNumberFormat="1" applyFont="1" applyFill="1" applyBorder="1"/>
    <xf numFmtId="166" fontId="22" fillId="15" borderId="3" xfId="0" applyNumberFormat="1" applyFont="1" applyFill="1" applyBorder="1"/>
    <xf numFmtId="164" fontId="25" fillId="15" borderId="9" xfId="0" applyNumberFormat="1" applyFont="1" applyFill="1" applyBorder="1" applyAlignment="1">
      <alignment horizontal="right"/>
    </xf>
    <xf numFmtId="164" fontId="25" fillId="15" borderId="13" xfId="0" applyNumberFormat="1" applyFont="1" applyFill="1" applyBorder="1" applyAlignment="1">
      <alignment horizontal="right"/>
    </xf>
    <xf numFmtId="164" fontId="22" fillId="15" borderId="9" xfId="0" applyNumberFormat="1" applyFont="1" applyFill="1" applyBorder="1" applyAlignment="1">
      <alignment horizontal="right"/>
    </xf>
    <xf numFmtId="164" fontId="22" fillId="15" borderId="13" xfId="0" applyNumberFormat="1" applyFont="1" applyFill="1" applyBorder="1" applyAlignment="1">
      <alignment horizontal="right"/>
    </xf>
    <xf numFmtId="164" fontId="22" fillId="12" borderId="9" xfId="0" applyNumberFormat="1" applyFont="1" applyFill="1" applyBorder="1" applyAlignment="1">
      <alignment horizontal="right"/>
    </xf>
    <xf numFmtId="164" fontId="22" fillId="12" borderId="13" xfId="0" applyNumberFormat="1" applyFont="1" applyFill="1" applyBorder="1" applyAlignment="1">
      <alignment horizontal="right"/>
    </xf>
    <xf numFmtId="164" fontId="7" fillId="16" borderId="9" xfId="0" applyNumberFormat="1" applyFont="1" applyFill="1" applyBorder="1" applyAlignment="1">
      <alignment horizontal="right"/>
    </xf>
    <xf numFmtId="164" fontId="7" fillId="16" borderId="13" xfId="0" applyNumberFormat="1" applyFont="1" applyFill="1" applyBorder="1" applyAlignment="1">
      <alignment horizontal="right"/>
    </xf>
    <xf numFmtId="0" fontId="8" fillId="17" borderId="9" xfId="0" applyFont="1" applyFill="1" applyBorder="1" applyAlignment="1">
      <alignment horizontal="right"/>
    </xf>
    <xf numFmtId="0" fontId="8" fillId="17" borderId="13" xfId="0" applyFont="1" applyFill="1" applyBorder="1" applyAlignment="1">
      <alignment horizontal="right"/>
    </xf>
    <xf numFmtId="0" fontId="0" fillId="0" borderId="0" xfId="0" applyFont="1"/>
    <xf numFmtId="0" fontId="17" fillId="0" borderId="0" xfId="0" applyFont="1"/>
    <xf numFmtId="0" fontId="17" fillId="17" borderId="9" xfId="0" applyFont="1" applyFill="1" applyBorder="1" applyAlignment="1">
      <alignment horizontal="right"/>
    </xf>
    <xf numFmtId="0" fontId="17" fillId="17" borderId="13" xfId="0" applyFont="1" applyFill="1" applyBorder="1" applyAlignment="1">
      <alignment horizontal="right"/>
    </xf>
    <xf numFmtId="0" fontId="3" fillId="0" borderId="0" xfId="0" applyFont="1" applyAlignment="1"/>
    <xf numFmtId="0" fontId="4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" fillId="0" borderId="10" xfId="0" applyFont="1" applyBorder="1" applyAlignment="1">
      <alignment horizontal="center"/>
    </xf>
    <xf numFmtId="0" fontId="0" fillId="5" borderId="11" xfId="0" applyFill="1" applyBorder="1"/>
    <xf numFmtId="0" fontId="28" fillId="5" borderId="11" xfId="0" applyFont="1" applyFill="1" applyBorder="1"/>
    <xf numFmtId="0" fontId="28" fillId="5" borderId="11" xfId="0" applyFont="1" applyFill="1" applyBorder="1" applyAlignment="1">
      <alignment vertical="top" wrapText="1"/>
    </xf>
    <xf numFmtId="0" fontId="28" fillId="5" borderId="7" xfId="0" applyFont="1" applyFill="1" applyBorder="1" applyAlignment="1">
      <alignment vertical="top" wrapText="1"/>
    </xf>
    <xf numFmtId="0" fontId="29" fillId="4" borderId="6" xfId="0" applyFont="1" applyFill="1" applyBorder="1" applyAlignment="1">
      <alignment horizontal="center" vertical="center"/>
    </xf>
    <xf numFmtId="0" fontId="30" fillId="4" borderId="11" xfId="0" applyFont="1" applyFill="1" applyBorder="1" applyAlignment="1">
      <alignment horizontal="left" vertical="center"/>
    </xf>
    <xf numFmtId="0" fontId="10" fillId="18" borderId="16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666666"/>
      <rgbColor rgb="FF9999FF"/>
      <rgbColor rgb="FFC0504D"/>
      <rgbColor rgb="FFF7F4E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ED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5C842"/>
      <rgbColor rgb="FFFF9900"/>
      <rgbColor rgb="FFE53935"/>
      <rgbColor rgb="FF8064A2"/>
      <rgbColor rgb="FF969696"/>
      <rgbColor rgb="FF1B3B6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12C"/>
      <color rgb="FFBE92F0"/>
      <color rgb="FFDCEE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/>
            </a:pPr>
            <a:r>
              <a:rPr lang="en-US" sz="1400"/>
              <a:t>Funding Use Breakdown:</a:t>
            </a:r>
          </a:p>
        </c:rich>
      </c:tx>
      <c:layout>
        <c:manualLayout>
          <c:xMode val="edge"/>
          <c:yMode val="edge"/>
          <c:x val="0.64616957692427612"/>
          <c:y val="0.27057043242851903"/>
        </c:manualLayout>
      </c:layout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'Funding Ask Summary'!$B$35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FFF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3B5-9442-A8EB-CC2A1C384AB0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3B5-9442-A8EB-CC2A1C384AB0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3B5-9442-A8EB-CC2A1C384AB0}"/>
              </c:ext>
            </c:extLst>
          </c:dPt>
          <c:dPt>
            <c:idx val="3"/>
            <c:bubble3D val="0"/>
            <c:spPr>
              <a:solidFill>
                <a:srgbClr val="BE92F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3B5-9442-A8EB-CC2A1C384AB0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F3B5-9442-A8EB-CC2A1C384AB0}"/>
              </c:ext>
            </c:extLst>
          </c:dPt>
          <c:dLbls>
            <c:dLbl>
              <c:idx val="0"/>
              <c:layout>
                <c:manualLayout>
                  <c:x val="0.10839364853449965"/>
                  <c:y val="4.807628192305128E-2"/>
                </c:manualLayout>
              </c:layout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0079856169218128"/>
                      <c:h val="0.1120293503145073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3B5-9442-A8EB-CC2A1C384AB0}"/>
                </c:ext>
              </c:extLst>
            </c:dLbl>
            <c:dLbl>
              <c:idx val="1"/>
              <c:layout>
                <c:manualLayout>
                  <c:x val="-0.26657505259348807"/>
                  <c:y val="-0.1347523982907527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solidFill>
                          <a:schemeClr val="bg1"/>
                        </a:solidFill>
                      </a:defRPr>
                    </a:pPr>
                    <a:fld id="{E9043913-8EB2-324D-820E-53F63737DA1C}" type="SERIESNAME">
                      <a:rPr lang="en-US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[SERIES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 + </a:t>
                    </a:r>
                    <a:fld id="{E3251399-95FF-5D47-96F9-4B32738AC504}" type="CATEGORYNAM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: </a:t>
                    </a:r>
                    <a:fld id="{D8D35BDB-185A-BF43-ABFF-90A8D4AF357F}" type="VALU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AEDFAAE8-7F08-3C44-A0BA-638CA4DD4F96}" type="PERCENTAG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[PERCENTAGE]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5333744113120651"/>
                      <c:h val="0.2604726500855726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3B5-9442-A8EB-CC2A1C384AB0}"/>
                </c:ext>
              </c:extLst>
            </c:dLbl>
            <c:dLbl>
              <c:idx val="2"/>
              <c:layout>
                <c:manualLayout>
                  <c:x val="7.9353620411712192E-2"/>
                  <c:y val="-7.4967481837416514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solidFill>
                          <a:schemeClr val="bg1"/>
                        </a:solidFill>
                      </a:defRPr>
                    </a:pPr>
                    <a:fld id="{398B8B6B-4C26-554D-B88D-9E75B9F7C9A5}" type="SERIESNAME">
                      <a:rPr lang="en-US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[SERIES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 + </a:t>
                    </a:r>
                    <a:fld id="{9588F2FF-5F83-8A44-BD65-C481E1E4FAC0}" type="CATEGORYNAM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: </a:t>
                    </a:r>
                    <a:fld id="{BFA45FBE-EEDB-8540-B68B-895A4EF6EB2E}" type="VALU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92BE2109-5145-7941-BC3E-FF3F27839300}" type="PERCENTAG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[PERCENTAGE]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3466489626363962"/>
                      <c:h val="0.1856512969260518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F3B5-9442-A8EB-CC2A1C384AB0}"/>
                </c:ext>
              </c:extLst>
            </c:dLbl>
            <c:dLbl>
              <c:idx val="3"/>
              <c:layout>
                <c:manualLayout>
                  <c:x val="-5.4995275469497959E-3"/>
                  <c:y val="9.5425554761073866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solidFill>
                          <a:schemeClr val="bg1"/>
                        </a:solidFill>
                      </a:defRPr>
                    </a:pPr>
                    <a:fld id="{14557A06-F2C7-F44F-9801-3B418FA4F971}" type="SERIESNAME">
                      <a:rPr lang="en-US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[SERIES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 + </a:t>
                    </a:r>
                    <a:fld id="{22C2E6D0-01E0-654F-AB73-F536819DAF33}" type="CATEGORYNAM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: </a:t>
                    </a:r>
                    <a:fld id="{A50E84B5-4D1D-FE45-A147-5143561887E1}" type="VALU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613E3C15-8C6E-744A-9150-28FCDB8192A5}" type="PERCENTAG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[PERCENTAGE]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0893070422698631"/>
                      <c:h val="0.134361021155718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F3B5-9442-A8EB-CC2A1C384AB0}"/>
                </c:ext>
              </c:extLst>
            </c:dLbl>
            <c:dLbl>
              <c:idx val="4"/>
              <c:layout>
                <c:manualLayout>
                  <c:x val="2.7804584533851727E-2"/>
                  <c:y val="-9.7271014200148061E-3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solidFill>
                          <a:schemeClr val="bg1"/>
                        </a:solidFill>
                      </a:defRPr>
                    </a:pPr>
                    <a:fld id="{1B50DA6E-DD9A-B448-9954-D39BE8F71D13}" type="SERIESNAME">
                      <a:rPr lang="en-US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[SERIES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 + </a:t>
                    </a:r>
                    <a:fld id="{0562767A-4A2B-1649-BEE9-25187185FAA2}" type="CATEGORYNAM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: </a:t>
                    </a:r>
                    <a:fld id="{408BEA04-1C8D-9449-991D-3211878CA518}" type="VALU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7EA07B56-5E94-7445-B357-36E7FFB0623E}" type="PERCENTAG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[PERCENTAGE]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059053933650383"/>
                      <c:h val="9.6715732035295945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F3B5-9442-A8EB-CC2A1C384A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'Funding Ask Summary'!$A$36:$A$40</c:f>
              <c:strCache>
                <c:ptCount val="5"/>
                <c:pt idx="0">
                  <c:v>AI Infrastructure (Anthropic API, to date + beta)</c:v>
                </c:pt>
                <c:pt idx="1">
                  <c:v>Development Tools (Cursor, Claude, ChatGPT subscriptions)</c:v>
                </c:pt>
                <c:pt idx="2">
                  <c:v>Cloud Hosting (Vercel + Supabase)</c:v>
                </c:pt>
                <c:pt idx="3">
                  <c:v>Content Library Generation (one-time)</c:v>
                </c:pt>
                <c:pt idx="4">
                  <c:v>Contingency</c:v>
                </c:pt>
              </c:strCache>
            </c:strRef>
          </c:cat>
          <c:val>
            <c:numRef>
              <c:f>'Funding Ask Summary'!$B$36:$B$40</c:f>
              <c:numCache>
                <c:formatCode>\$#,##0;"($"#,##0\);\-</c:formatCode>
                <c:ptCount val="5"/>
                <c:pt idx="0">
                  <c:v>8.92</c:v>
                </c:pt>
                <c:pt idx="1">
                  <c:v>356</c:v>
                </c:pt>
                <c:pt idx="2">
                  <c:v>180</c:v>
                </c:pt>
                <c:pt idx="3">
                  <c:v>30</c:v>
                </c:pt>
                <c:pt idx="4">
                  <c:v>61.015499999999996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B5-9442-A8EB-CC2A1C384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4236631174069403"/>
          <c:y val="0.3389153128617366"/>
          <c:w val="0.33000443083367115"/>
          <c:h val="0.38955294542561575"/>
        </c:manualLayout>
      </c:layout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chemeClr val="tx2">
        <a:lumMod val="75000"/>
      </a:schemeClr>
    </a:solidFill>
    <a:ln w="9360">
      <a:solidFill>
        <a:srgbClr val="D9D9D9"/>
      </a:solidFill>
      <a:round/>
    </a:ln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37159</xdr:colOff>
      <xdr:row>11</xdr:row>
      <xdr:rowOff>50800</xdr:rowOff>
    </xdr:from>
    <xdr:to>
      <xdr:col>15</xdr:col>
      <xdr:colOff>346839</xdr:colOff>
      <xdr:row>37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5"/>
  <sheetViews>
    <sheetView showGridLines="0" zoomScaleNormal="100" workbookViewId="0">
      <selection activeCell="H11" sqref="H11"/>
    </sheetView>
  </sheetViews>
  <sheetFormatPr baseColWidth="10" defaultColWidth="8.6640625" defaultRowHeight="15" x14ac:dyDescent="0.2"/>
  <cols>
    <col min="1" max="1" width="4" customWidth="1"/>
    <col min="2" max="2" width="153.33203125" customWidth="1"/>
    <col min="3" max="3" width="4" customWidth="1"/>
  </cols>
  <sheetData>
    <row r="2" spans="2:2" ht="33.75" customHeight="1" x14ac:dyDescent="0.2">
      <c r="B2" s="94" t="s">
        <v>134</v>
      </c>
    </row>
    <row r="3" spans="2:2" ht="13" customHeight="1" x14ac:dyDescent="0.2">
      <c r="B3" s="90"/>
    </row>
    <row r="4" spans="2:2" ht="15" customHeight="1" x14ac:dyDescent="0.2">
      <c r="B4" s="91" t="s">
        <v>0</v>
      </c>
    </row>
    <row r="5" spans="2:2" ht="15" customHeight="1" x14ac:dyDescent="0.2">
      <c r="B5" s="91" t="s">
        <v>1</v>
      </c>
    </row>
    <row r="6" spans="2:2" x14ac:dyDescent="0.2">
      <c r="B6" s="90"/>
    </row>
    <row r="7" spans="2:2" ht="24" customHeight="1" x14ac:dyDescent="0.2">
      <c r="B7" s="95" t="s">
        <v>135</v>
      </c>
    </row>
    <row r="8" spans="2:2" ht="30" customHeight="1" x14ac:dyDescent="0.2">
      <c r="B8" s="92" t="s">
        <v>2</v>
      </c>
    </row>
    <row r="9" spans="2:2" ht="30" customHeight="1" x14ac:dyDescent="0.2">
      <c r="B9" s="92" t="s">
        <v>3</v>
      </c>
    </row>
    <row r="10" spans="2:2" ht="30" customHeight="1" x14ac:dyDescent="0.2">
      <c r="B10" s="92" t="s">
        <v>4</v>
      </c>
    </row>
    <row r="11" spans="2:2" ht="30" customHeight="1" x14ac:dyDescent="0.2">
      <c r="B11" s="92" t="s">
        <v>5</v>
      </c>
    </row>
    <row r="12" spans="2:2" ht="30" customHeight="1" x14ac:dyDescent="0.2">
      <c r="B12" s="92" t="s">
        <v>163</v>
      </c>
    </row>
    <row r="13" spans="2:2" x14ac:dyDescent="0.2">
      <c r="B13" s="90"/>
    </row>
    <row r="14" spans="2:2" ht="24" customHeight="1" x14ac:dyDescent="0.2">
      <c r="B14" s="95" t="s">
        <v>6</v>
      </c>
    </row>
    <row r="15" spans="2:2" ht="89" customHeight="1" x14ac:dyDescent="0.2">
      <c r="B15" s="93" t="s">
        <v>133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43"/>
  <sheetViews>
    <sheetView showGridLines="0" tabSelected="1" topLeftCell="A2" zoomScale="108" zoomScaleNormal="100" workbookViewId="0">
      <selection activeCell="D30" sqref="D30"/>
    </sheetView>
  </sheetViews>
  <sheetFormatPr baseColWidth="10" defaultColWidth="8.6640625" defaultRowHeight="15" x14ac:dyDescent="0.2"/>
  <cols>
    <col min="1" max="1" width="48.1640625" customWidth="1"/>
    <col min="2" max="2" width="22.83203125" customWidth="1"/>
    <col min="3" max="3" width="18" customWidth="1"/>
    <col min="4" max="4" width="65" customWidth="1"/>
  </cols>
  <sheetData>
    <row r="2" spans="1:6" ht="18" customHeight="1" x14ac:dyDescent="0.25">
      <c r="A2" s="88" t="s">
        <v>162</v>
      </c>
      <c r="B2" s="88"/>
      <c r="C2" s="88"/>
      <c r="D2" s="88"/>
      <c r="E2" s="86"/>
      <c r="F2" s="86"/>
    </row>
    <row r="3" spans="1:6" ht="15" customHeight="1" x14ac:dyDescent="0.2">
      <c r="A3" s="87" t="s">
        <v>7</v>
      </c>
      <c r="B3" s="87"/>
      <c r="C3" s="87"/>
      <c r="D3" s="87"/>
      <c r="E3" s="22"/>
      <c r="F3" s="22"/>
    </row>
    <row r="4" spans="1:6" x14ac:dyDescent="0.2">
      <c r="A4" s="83"/>
      <c r="B4" s="83"/>
      <c r="C4" s="83"/>
      <c r="D4" s="83"/>
      <c r="E4" s="83"/>
      <c r="F4" s="83"/>
    </row>
    <row r="5" spans="1:6" ht="15" customHeight="1" x14ac:dyDescent="0.2">
      <c r="A5" s="89" t="s">
        <v>8</v>
      </c>
      <c r="B5" s="89"/>
      <c r="C5" s="89"/>
      <c r="D5" s="89"/>
      <c r="E5" s="83"/>
      <c r="F5" s="83"/>
    </row>
    <row r="6" spans="1:6" ht="15" customHeight="1" x14ac:dyDescent="0.2">
      <c r="A6" s="6" t="s">
        <v>9</v>
      </c>
      <c r="B6" s="6" t="s">
        <v>10</v>
      </c>
      <c r="C6" s="6"/>
      <c r="D6" s="6" t="s">
        <v>11</v>
      </c>
      <c r="E6" s="83"/>
      <c r="F6" s="83"/>
    </row>
    <row r="7" spans="1:6" x14ac:dyDescent="0.2">
      <c r="A7" s="52" t="s">
        <v>12</v>
      </c>
      <c r="B7" s="78">
        <f>'Actual Spend to Date'!B25</f>
        <v>168.15</v>
      </c>
      <c r="C7" s="79"/>
      <c r="D7" s="53" t="s">
        <v>13</v>
      </c>
      <c r="E7" s="83"/>
      <c r="F7" s="83"/>
    </row>
    <row r="8" spans="1:6" x14ac:dyDescent="0.2">
      <c r="A8" s="52" t="s">
        <v>14</v>
      </c>
      <c r="B8" s="74">
        <f>B31</f>
        <v>635.93549999999993</v>
      </c>
      <c r="C8" s="75"/>
      <c r="D8" s="53" t="s">
        <v>15</v>
      </c>
      <c r="E8" s="83"/>
      <c r="F8" s="83"/>
    </row>
    <row r="9" spans="1:6" x14ac:dyDescent="0.2">
      <c r="A9" s="52" t="s">
        <v>16</v>
      </c>
      <c r="B9" s="57">
        <f>'Beta Cost Projection'!B13</f>
        <v>15</v>
      </c>
      <c r="C9" s="58"/>
      <c r="D9" s="52"/>
      <c r="E9" s="83"/>
      <c r="F9" s="83"/>
    </row>
    <row r="10" spans="1:6" ht="15" customHeight="1" x14ac:dyDescent="0.2">
      <c r="A10" s="52" t="s">
        <v>17</v>
      </c>
      <c r="B10" s="57">
        <f>'Beta Cost Projection'!D13</f>
        <v>300</v>
      </c>
      <c r="C10" s="58"/>
      <c r="D10" s="52"/>
      <c r="E10" s="83"/>
      <c r="F10" s="83"/>
    </row>
    <row r="11" spans="1:6" ht="15" customHeight="1" x14ac:dyDescent="0.2">
      <c r="A11" s="52" t="s">
        <v>18</v>
      </c>
      <c r="B11" s="59">
        <f>'Beta Cost Projection'!B8</f>
        <v>1.5899999999999997E-2</v>
      </c>
      <c r="C11" s="60"/>
      <c r="D11" s="52"/>
      <c r="E11" s="83"/>
      <c r="F11" s="83"/>
    </row>
    <row r="12" spans="1:6" ht="15" customHeight="1" x14ac:dyDescent="0.2">
      <c r="A12" s="52" t="s">
        <v>19</v>
      </c>
      <c r="B12" s="61" t="str">
        <f>Assumptions!$B$32&amp;" months"</f>
        <v>4 months</v>
      </c>
      <c r="C12" s="62"/>
      <c r="D12" s="53" t="s">
        <v>160</v>
      </c>
      <c r="E12" s="83"/>
      <c r="F12" s="83"/>
    </row>
    <row r="13" spans="1:6" x14ac:dyDescent="0.2">
      <c r="A13" s="83"/>
      <c r="B13" s="83"/>
      <c r="C13" s="83"/>
      <c r="D13" s="83"/>
      <c r="E13" s="83"/>
      <c r="F13" s="83"/>
    </row>
    <row r="14" spans="1:6" ht="15" customHeight="1" x14ac:dyDescent="0.2">
      <c r="A14" s="89" t="s">
        <v>20</v>
      </c>
      <c r="B14" s="89"/>
      <c r="C14" s="89"/>
      <c r="D14" s="89"/>
      <c r="E14" s="83"/>
      <c r="F14" s="83"/>
    </row>
    <row r="15" spans="1:6" ht="15" customHeight="1" x14ac:dyDescent="0.2">
      <c r="A15" s="6" t="s">
        <v>21</v>
      </c>
      <c r="B15" s="6" t="s">
        <v>22</v>
      </c>
      <c r="C15" s="6"/>
      <c r="D15" s="6" t="s">
        <v>11</v>
      </c>
      <c r="E15" s="83"/>
      <c r="F15" s="83"/>
    </row>
    <row r="16" spans="1:6" ht="15" customHeight="1" x14ac:dyDescent="0.2">
      <c r="A16" s="52" t="s">
        <v>23</v>
      </c>
      <c r="B16" s="78">
        <f>'Actual Spend to Date'!B25</f>
        <v>168.15</v>
      </c>
      <c r="C16" s="79"/>
      <c r="D16" s="53" t="s">
        <v>24</v>
      </c>
      <c r="E16" s="83"/>
      <c r="F16" s="83"/>
    </row>
    <row r="17" spans="1:6" ht="15" customHeight="1" x14ac:dyDescent="0.2">
      <c r="A17" s="52" t="s">
        <v>161</v>
      </c>
      <c r="B17" s="80" t="s">
        <v>154</v>
      </c>
      <c r="C17" s="81"/>
      <c r="D17" s="53" t="s">
        <v>155</v>
      </c>
      <c r="E17" s="83"/>
      <c r="F17" s="83"/>
    </row>
    <row r="18" spans="1:6" x14ac:dyDescent="0.2">
      <c r="A18" s="52"/>
      <c r="B18" s="84"/>
      <c r="C18" s="85"/>
      <c r="D18" s="52"/>
      <c r="E18" s="83"/>
      <c r="F18" s="83"/>
    </row>
    <row r="19" spans="1:6" s="82" customFormat="1" ht="15" customHeight="1" x14ac:dyDescent="0.2">
      <c r="A19" s="52" t="s">
        <v>25</v>
      </c>
      <c r="B19" s="76">
        <f>'Actual Spend to Date'!B25</f>
        <v>168.15</v>
      </c>
      <c r="C19" s="77"/>
      <c r="D19" s="52"/>
      <c r="E19" s="83"/>
      <c r="F19" s="83"/>
    </row>
    <row r="20" spans="1:6" x14ac:dyDescent="0.2">
      <c r="A20" s="83"/>
      <c r="B20" s="83"/>
      <c r="C20" s="83"/>
      <c r="D20" s="83"/>
      <c r="E20" s="83"/>
      <c r="F20" s="83"/>
    </row>
    <row r="21" spans="1:6" ht="15" customHeight="1" x14ac:dyDescent="0.2">
      <c r="A21" s="89" t="s">
        <v>26</v>
      </c>
      <c r="B21" s="89"/>
      <c r="C21" s="89"/>
      <c r="D21" s="89"/>
      <c r="E21" s="83"/>
      <c r="F21" s="83"/>
    </row>
    <row r="22" spans="1:6" ht="15" customHeight="1" x14ac:dyDescent="0.2">
      <c r="A22" s="6" t="s">
        <v>21</v>
      </c>
      <c r="B22" s="6" t="s">
        <v>27</v>
      </c>
      <c r="C22" s="6"/>
      <c r="D22" s="6" t="s">
        <v>11</v>
      </c>
      <c r="E22" s="83"/>
      <c r="F22" s="83"/>
    </row>
    <row r="23" spans="1:6" ht="15" customHeight="1" x14ac:dyDescent="0.2">
      <c r="A23" s="52" t="s">
        <v>28</v>
      </c>
      <c r="B23" s="59">
        <f>'Beta Cost Projection'!E13</f>
        <v>4.7699999999999996</v>
      </c>
      <c r="C23" s="60"/>
      <c r="D23" s="53" t="s">
        <v>29</v>
      </c>
      <c r="E23" s="83"/>
      <c r="F23" s="83"/>
    </row>
    <row r="24" spans="1:6" ht="15" customHeight="1" x14ac:dyDescent="0.2">
      <c r="A24" s="52" t="s">
        <v>30</v>
      </c>
      <c r="B24" s="63">
        <f>(Assumptions!$B$26+Assumptions!$B$27)*Assumptions!$B$32</f>
        <v>180</v>
      </c>
      <c r="C24" s="64"/>
      <c r="D24" s="53" t="s">
        <v>31</v>
      </c>
      <c r="E24" s="83"/>
      <c r="F24" s="83"/>
    </row>
    <row r="25" spans="1:6" ht="15" customHeight="1" x14ac:dyDescent="0.2">
      <c r="A25" s="52" t="s">
        <v>32</v>
      </c>
      <c r="B25" s="63">
        <f>(Assumptions!$B$25+Assumptions!$B$23+Assumptions!$B$24)*Assumptions!$B$32</f>
        <v>192</v>
      </c>
      <c r="C25" s="64"/>
      <c r="D25" s="53" t="s">
        <v>33</v>
      </c>
      <c r="E25" s="83"/>
      <c r="F25" s="83"/>
    </row>
    <row r="26" spans="1:6" ht="15" customHeight="1" x14ac:dyDescent="0.2">
      <c r="A26" s="52" t="s">
        <v>34</v>
      </c>
      <c r="B26" s="63">
        <f>Assumptions!$B$31</f>
        <v>30</v>
      </c>
      <c r="C26" s="64"/>
      <c r="D26" s="53" t="s">
        <v>35</v>
      </c>
      <c r="E26" s="83"/>
      <c r="F26" s="83"/>
    </row>
    <row r="27" spans="1:6" ht="15" customHeight="1" x14ac:dyDescent="0.2">
      <c r="A27" s="51" t="s">
        <v>36</v>
      </c>
      <c r="B27" s="65">
        <f>SUM(B23:B26)</f>
        <v>406.77</v>
      </c>
      <c r="C27" s="66"/>
      <c r="D27" s="52"/>
      <c r="E27" s="83"/>
      <c r="F27" s="83"/>
    </row>
    <row r="28" spans="1:6" ht="15" customHeight="1" x14ac:dyDescent="0.2">
      <c r="A28" s="52" t="s">
        <v>37</v>
      </c>
      <c r="B28" s="63">
        <f>B27*Assumptions!$B$33</f>
        <v>61.015499999999996</v>
      </c>
      <c r="C28" s="64"/>
      <c r="D28" s="53" t="s">
        <v>38</v>
      </c>
      <c r="E28" s="83"/>
      <c r="F28" s="83"/>
    </row>
    <row r="29" spans="1:6" ht="15" customHeight="1" x14ac:dyDescent="0.2">
      <c r="A29" s="51" t="s">
        <v>39</v>
      </c>
      <c r="B29" s="65">
        <f>B27+B28</f>
        <v>467.78549999999996</v>
      </c>
      <c r="C29" s="66"/>
      <c r="D29" s="52"/>
      <c r="E29" s="83"/>
      <c r="F29" s="83"/>
    </row>
    <row r="30" spans="1:6" x14ac:dyDescent="0.2">
      <c r="A30" s="52"/>
      <c r="B30" s="84"/>
      <c r="C30" s="85"/>
      <c r="D30" s="52"/>
      <c r="E30" s="83"/>
      <c r="F30" s="83"/>
    </row>
    <row r="31" spans="1:6" ht="15.75" customHeight="1" x14ac:dyDescent="0.2">
      <c r="A31" s="51" t="s">
        <v>157</v>
      </c>
      <c r="B31" s="72">
        <f>B19+B29</f>
        <v>635.93549999999993</v>
      </c>
      <c r="C31" s="73"/>
      <c r="D31" s="52"/>
      <c r="E31" s="83"/>
      <c r="F31" s="83"/>
    </row>
    <row r="32" spans="1:6" ht="15" customHeight="1" x14ac:dyDescent="0.2">
      <c r="A32" s="1" t="s">
        <v>158</v>
      </c>
      <c r="B32" s="1"/>
      <c r="C32" s="1"/>
      <c r="D32" s="1"/>
      <c r="E32" s="83"/>
      <c r="F32" s="83"/>
    </row>
    <row r="33" spans="1:6" x14ac:dyDescent="0.2">
      <c r="A33" s="83"/>
      <c r="B33" s="83"/>
      <c r="C33" s="83"/>
      <c r="D33" s="83"/>
      <c r="E33" s="83"/>
      <c r="F33" s="83"/>
    </row>
    <row r="34" spans="1:6" ht="15" customHeight="1" x14ac:dyDescent="0.2">
      <c r="A34" s="89" t="s">
        <v>40</v>
      </c>
      <c r="B34" s="89"/>
      <c r="C34" s="89"/>
      <c r="D34" s="89"/>
      <c r="E34" s="83"/>
      <c r="F34" s="83"/>
    </row>
    <row r="35" spans="1:6" ht="15" customHeight="1" x14ac:dyDescent="0.2">
      <c r="A35" s="6" t="s">
        <v>41</v>
      </c>
      <c r="B35" s="6" t="s">
        <v>22</v>
      </c>
      <c r="C35" s="6" t="s">
        <v>159</v>
      </c>
      <c r="D35" s="6" t="s">
        <v>11</v>
      </c>
      <c r="E35" s="83"/>
      <c r="F35" s="83"/>
    </row>
    <row r="36" spans="1:6" ht="15" customHeight="1" x14ac:dyDescent="0.2">
      <c r="A36" s="52" t="s">
        <v>42</v>
      </c>
      <c r="B36" s="55">
        <f>'Actual Spend to Date'!B10+'Beta Cost Projection'!E13</f>
        <v>8.92</v>
      </c>
      <c r="C36" s="56">
        <f>B36/$B$31</f>
        <v>1.4026579739611959E-2</v>
      </c>
      <c r="D36" s="53" t="s">
        <v>43</v>
      </c>
      <c r="E36" s="83"/>
      <c r="F36" s="83"/>
    </row>
    <row r="37" spans="1:6" ht="15" customHeight="1" x14ac:dyDescent="0.2">
      <c r="A37" s="52" t="s">
        <v>44</v>
      </c>
      <c r="B37" s="55">
        <f>'Actual Spend to Date'!B19+(Assumptions!$B$25+Assumptions!$B$23+Assumptions!$B$24)*Assumptions!$B$32</f>
        <v>356</v>
      </c>
      <c r="C37" s="56">
        <f>B37/$B$31</f>
        <v>0.55980520037016335</v>
      </c>
      <c r="D37" s="53" t="s">
        <v>45</v>
      </c>
      <c r="E37" s="83"/>
      <c r="F37" s="83"/>
    </row>
    <row r="38" spans="1:6" ht="15" customHeight="1" x14ac:dyDescent="0.2">
      <c r="A38" s="52" t="s">
        <v>46</v>
      </c>
      <c r="B38" s="55">
        <f>'Actual Spend to Date'!B23+(Assumptions!$B$26+Assumptions!$B$27)*Assumptions!$B$32</f>
        <v>180</v>
      </c>
      <c r="C38" s="56">
        <f>B38/$B$31</f>
        <v>0.28304757322086915</v>
      </c>
      <c r="D38" s="53" t="s">
        <v>47</v>
      </c>
      <c r="E38" s="83"/>
      <c r="F38" s="83"/>
    </row>
    <row r="39" spans="1:6" ht="15" customHeight="1" x14ac:dyDescent="0.2">
      <c r="A39" s="52" t="s">
        <v>48</v>
      </c>
      <c r="B39" s="55">
        <f>Assumptions!$B$31</f>
        <v>30</v>
      </c>
      <c r="C39" s="56">
        <f>B39/$B$31</f>
        <v>4.7174595536811519E-2</v>
      </c>
      <c r="D39" s="53" t="s">
        <v>49</v>
      </c>
      <c r="E39" s="83"/>
      <c r="F39" s="83"/>
    </row>
    <row r="40" spans="1:6" ht="15" customHeight="1" x14ac:dyDescent="0.2">
      <c r="A40" s="52" t="s">
        <v>50</v>
      </c>
      <c r="B40" s="55">
        <f>B28</f>
        <v>61.015499999999996</v>
      </c>
      <c r="C40" s="56">
        <f>B40/$B$31</f>
        <v>9.5946051132544105E-2</v>
      </c>
      <c r="D40" s="53" t="s">
        <v>51</v>
      </c>
      <c r="E40" s="83"/>
      <c r="F40" s="83"/>
    </row>
    <row r="41" spans="1:6" ht="15" customHeight="1" x14ac:dyDescent="0.2">
      <c r="A41" s="51" t="s">
        <v>157</v>
      </c>
      <c r="B41" s="70">
        <f>SUM(B36:B40)</f>
        <v>635.93550000000005</v>
      </c>
      <c r="C41" s="71">
        <f>SUM(C36:C40)</f>
        <v>1</v>
      </c>
      <c r="D41" s="52"/>
      <c r="E41" s="83"/>
      <c r="F41" s="83"/>
    </row>
    <row r="42" spans="1:6" x14ac:dyDescent="0.2">
      <c r="A42" s="83"/>
      <c r="B42" s="83"/>
      <c r="C42" s="83"/>
      <c r="D42" s="83"/>
      <c r="E42" s="83"/>
      <c r="F42" s="83"/>
    </row>
    <row r="43" spans="1:6" x14ac:dyDescent="0.2">
      <c r="A43" s="83"/>
      <c r="B43" s="83"/>
      <c r="C43" s="83"/>
      <c r="D43" s="83"/>
      <c r="E43" s="83"/>
      <c r="F43" s="83"/>
    </row>
  </sheetData>
  <mergeCells count="26">
    <mergeCell ref="A14:D14"/>
    <mergeCell ref="A5:D5"/>
    <mergeCell ref="A2:D2"/>
    <mergeCell ref="A3:D3"/>
    <mergeCell ref="B29:C29"/>
    <mergeCell ref="B30:C30"/>
    <mergeCell ref="B31:C31"/>
    <mergeCell ref="A34:D34"/>
    <mergeCell ref="A21:D21"/>
    <mergeCell ref="B24:C24"/>
    <mergeCell ref="B25:C25"/>
    <mergeCell ref="B26:C26"/>
    <mergeCell ref="B27:C27"/>
    <mergeCell ref="B28:C28"/>
    <mergeCell ref="A32:D32"/>
    <mergeCell ref="B12:C12"/>
    <mergeCell ref="B11:C11"/>
    <mergeCell ref="B10:C10"/>
    <mergeCell ref="B9:C9"/>
    <mergeCell ref="B8:C8"/>
    <mergeCell ref="B7:C7"/>
    <mergeCell ref="B16:C16"/>
    <mergeCell ref="B17:C17"/>
    <mergeCell ref="B18:C18"/>
    <mergeCell ref="B19:C19"/>
    <mergeCell ref="B23:C2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showGridLines="0" zoomScaleNormal="100" workbookViewId="0">
      <selection activeCell="E12" sqref="E12"/>
    </sheetView>
  </sheetViews>
  <sheetFormatPr baseColWidth="10" defaultColWidth="8.6640625" defaultRowHeight="15" x14ac:dyDescent="0.2"/>
  <cols>
    <col min="1" max="1" width="37.1640625" customWidth="1"/>
    <col min="2" max="2" width="16" customWidth="1"/>
    <col min="3" max="3" width="55.33203125" customWidth="1"/>
  </cols>
  <sheetData>
    <row r="1" spans="1:6" ht="18" customHeight="1" x14ac:dyDescent="0.2">
      <c r="A1" s="2" t="s">
        <v>52</v>
      </c>
      <c r="B1" s="2"/>
      <c r="C1" s="2"/>
      <c r="D1" s="2"/>
      <c r="E1" s="2"/>
      <c r="F1" s="2"/>
    </row>
    <row r="2" spans="1:6" ht="15" customHeight="1" x14ac:dyDescent="0.2">
      <c r="A2" s="1" t="s">
        <v>53</v>
      </c>
      <c r="B2" s="1"/>
      <c r="C2" s="1"/>
      <c r="D2" s="1"/>
      <c r="E2" s="1"/>
      <c r="F2" s="1"/>
    </row>
    <row r="4" spans="1:6" ht="15" customHeight="1" x14ac:dyDescent="0.2">
      <c r="A4" s="42" t="s">
        <v>54</v>
      </c>
      <c r="B4" s="42"/>
      <c r="C4" s="42"/>
    </row>
    <row r="5" spans="1:6" ht="15" customHeight="1" x14ac:dyDescent="0.2">
      <c r="A5" s="6" t="s">
        <v>55</v>
      </c>
      <c r="B5" s="6" t="s">
        <v>27</v>
      </c>
      <c r="C5" s="6" t="s">
        <v>56</v>
      </c>
    </row>
    <row r="6" spans="1:6" ht="15" customHeight="1" x14ac:dyDescent="0.2">
      <c r="A6" s="33" t="s">
        <v>57</v>
      </c>
      <c r="B6" s="46">
        <v>0.04</v>
      </c>
      <c r="C6" s="53" t="s">
        <v>58</v>
      </c>
    </row>
    <row r="7" spans="1:6" ht="15" customHeight="1" x14ac:dyDescent="0.2">
      <c r="A7" s="33" t="s">
        <v>59</v>
      </c>
      <c r="B7" s="46">
        <v>0</v>
      </c>
      <c r="C7" s="53" t="s">
        <v>60</v>
      </c>
    </row>
    <row r="8" spans="1:6" ht="15" customHeight="1" x14ac:dyDescent="0.2">
      <c r="A8" s="33" t="s">
        <v>61</v>
      </c>
      <c r="B8" s="46">
        <v>3.5</v>
      </c>
      <c r="C8" s="53" t="s">
        <v>62</v>
      </c>
    </row>
    <row r="9" spans="1:6" ht="15" customHeight="1" x14ac:dyDescent="0.2">
      <c r="A9" s="33" t="s">
        <v>63</v>
      </c>
      <c r="B9" s="46">
        <v>0.61</v>
      </c>
      <c r="C9" s="53" t="s">
        <v>64</v>
      </c>
    </row>
    <row r="10" spans="1:6" ht="15" customHeight="1" x14ac:dyDescent="0.2">
      <c r="A10" s="34" t="s">
        <v>65</v>
      </c>
      <c r="B10" s="48">
        <f>SUM(B6:B9)</f>
        <v>4.1500000000000004</v>
      </c>
      <c r="C10" s="67"/>
    </row>
    <row r="12" spans="1:6" ht="15" customHeight="1" x14ac:dyDescent="0.2">
      <c r="A12" s="42" t="s">
        <v>66</v>
      </c>
      <c r="B12" s="42"/>
      <c r="C12" s="42"/>
    </row>
    <row r="13" spans="1:6" ht="15" customHeight="1" x14ac:dyDescent="0.2">
      <c r="A13" s="6" t="s">
        <v>21</v>
      </c>
      <c r="B13" s="6" t="s">
        <v>27</v>
      </c>
      <c r="C13" s="6" t="s">
        <v>11</v>
      </c>
    </row>
    <row r="14" spans="1:6" ht="15" customHeight="1" x14ac:dyDescent="0.2">
      <c r="A14" s="33" t="s">
        <v>67</v>
      </c>
      <c r="B14" s="46">
        <v>0</v>
      </c>
      <c r="C14" s="53" t="s">
        <v>68</v>
      </c>
    </row>
    <row r="15" spans="1:6" ht="15" customHeight="1" x14ac:dyDescent="0.2">
      <c r="A15" s="33" t="s">
        <v>69</v>
      </c>
      <c r="B15" s="43">
        <v>20</v>
      </c>
      <c r="C15" s="53" t="s">
        <v>147</v>
      </c>
    </row>
    <row r="16" spans="1:6" ht="15" customHeight="1" x14ac:dyDescent="0.2">
      <c r="A16" s="33" t="s">
        <v>70</v>
      </c>
      <c r="B16" s="43">
        <v>60</v>
      </c>
      <c r="C16" s="53" t="s">
        <v>71</v>
      </c>
    </row>
    <row r="17" spans="1:3" ht="15" customHeight="1" x14ac:dyDescent="0.2">
      <c r="A17" s="33" t="s">
        <v>72</v>
      </c>
      <c r="B17" s="43">
        <f>Assumptions!$B$23*3</f>
        <v>60</v>
      </c>
      <c r="C17" s="53" t="s">
        <v>146</v>
      </c>
    </row>
    <row r="18" spans="1:3" ht="15" customHeight="1" x14ac:dyDescent="0.2">
      <c r="A18" s="33" t="s">
        <v>73</v>
      </c>
      <c r="B18" s="43">
        <f>Assumptions!$B$24*3</f>
        <v>24</v>
      </c>
      <c r="C18" s="53" t="s">
        <v>146</v>
      </c>
    </row>
    <row r="19" spans="1:3" ht="15" customHeight="1" x14ac:dyDescent="0.2">
      <c r="A19" s="34" t="s">
        <v>145</v>
      </c>
      <c r="B19" s="47">
        <f>SUM(B14:B18)</f>
        <v>164</v>
      </c>
      <c r="C19" s="67"/>
    </row>
    <row r="20" spans="1:3" x14ac:dyDescent="0.2">
      <c r="A20" s="25"/>
      <c r="B20" s="25"/>
      <c r="C20" s="25"/>
    </row>
    <row r="21" spans="1:3" ht="15" customHeight="1" x14ac:dyDescent="0.2">
      <c r="A21" s="42" t="s">
        <v>74</v>
      </c>
      <c r="B21" s="42"/>
      <c r="C21" s="42"/>
    </row>
    <row r="22" spans="1:3" ht="15" customHeight="1" x14ac:dyDescent="0.2">
      <c r="A22" s="6" t="s">
        <v>21</v>
      </c>
      <c r="B22" s="6" t="s">
        <v>27</v>
      </c>
      <c r="C22" s="6" t="s">
        <v>11</v>
      </c>
    </row>
    <row r="23" spans="1:3" ht="15" customHeight="1" x14ac:dyDescent="0.2">
      <c r="A23" s="33" t="s">
        <v>149</v>
      </c>
      <c r="B23" s="43">
        <v>0</v>
      </c>
      <c r="C23" s="53" t="s">
        <v>75</v>
      </c>
    </row>
    <row r="24" spans="1:3" x14ac:dyDescent="0.2">
      <c r="A24" s="33" t="s">
        <v>148</v>
      </c>
      <c r="B24" s="43">
        <v>0</v>
      </c>
      <c r="C24" s="53" t="s">
        <v>75</v>
      </c>
    </row>
    <row r="25" spans="1:3" ht="15" customHeight="1" x14ac:dyDescent="0.2">
      <c r="A25" s="44" t="s">
        <v>144</v>
      </c>
      <c r="B25" s="45">
        <f>B10+B19+B23</f>
        <v>168.15</v>
      </c>
      <c r="C25" s="67"/>
    </row>
  </sheetData>
  <mergeCells count="5">
    <mergeCell ref="A1:F1"/>
    <mergeCell ref="A2:F2"/>
    <mergeCell ref="A21:C21"/>
    <mergeCell ref="A12:C12"/>
    <mergeCell ref="A4:C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showGridLines="0" zoomScaleNormal="100" workbookViewId="0">
      <selection activeCell="B24" sqref="B24"/>
    </sheetView>
  </sheetViews>
  <sheetFormatPr baseColWidth="10" defaultColWidth="8.6640625" defaultRowHeight="15" x14ac:dyDescent="0.2"/>
  <cols>
    <col min="1" max="1" width="48.5" customWidth="1"/>
    <col min="2" max="4" width="16" customWidth="1"/>
    <col min="5" max="5" width="44" customWidth="1"/>
  </cols>
  <sheetData>
    <row r="1" spans="1:8" ht="18" customHeight="1" x14ac:dyDescent="0.2">
      <c r="A1" s="23" t="s">
        <v>76</v>
      </c>
      <c r="B1" s="23"/>
      <c r="C1" s="23"/>
      <c r="D1" s="23"/>
      <c r="E1" s="23"/>
      <c r="F1" s="23"/>
      <c r="G1" s="25"/>
      <c r="H1" s="25"/>
    </row>
    <row r="2" spans="1:8" ht="15" customHeight="1" x14ac:dyDescent="0.2">
      <c r="A2" s="24" t="s">
        <v>143</v>
      </c>
      <c r="B2" s="24"/>
      <c r="C2" s="24"/>
      <c r="D2" s="24"/>
      <c r="E2" s="24"/>
      <c r="F2" s="24"/>
      <c r="G2" s="25"/>
      <c r="H2" s="25"/>
    </row>
    <row r="3" spans="1:8" x14ac:dyDescent="0.2">
      <c r="A3" s="25"/>
      <c r="B3" s="25"/>
      <c r="C3" s="25"/>
      <c r="D3" s="25"/>
      <c r="E3" s="25"/>
      <c r="F3" s="25"/>
      <c r="G3" s="25"/>
      <c r="H3" s="25"/>
    </row>
    <row r="4" spans="1:8" ht="15" customHeight="1" x14ac:dyDescent="0.2">
      <c r="A4" s="28" t="s">
        <v>77</v>
      </c>
      <c r="B4" s="28"/>
      <c r="C4" s="25"/>
      <c r="D4" s="25"/>
      <c r="E4" s="25"/>
      <c r="F4" s="25"/>
      <c r="G4" s="25"/>
      <c r="H4" s="25"/>
    </row>
    <row r="5" spans="1:8" ht="15" customHeight="1" x14ac:dyDescent="0.2">
      <c r="A5" s="33" t="s">
        <v>78</v>
      </c>
      <c r="B5" s="30">
        <f>(Assumptions!$B$11/1000000)*Assumptions!$B$6</f>
        <v>6.6E-3</v>
      </c>
      <c r="C5" s="25"/>
      <c r="D5" s="25"/>
      <c r="E5" s="25"/>
      <c r="F5" s="25"/>
      <c r="G5" s="25"/>
      <c r="H5" s="25"/>
    </row>
    <row r="6" spans="1:8" ht="15" customHeight="1" x14ac:dyDescent="0.2">
      <c r="A6" s="33" t="s">
        <v>79</v>
      </c>
      <c r="B6" s="30">
        <f>(Assumptions!$B$12/1000000)*Assumptions!$B$7</f>
        <v>9.2999999999999992E-3</v>
      </c>
      <c r="C6" s="25"/>
      <c r="D6" s="25"/>
      <c r="E6" s="25"/>
      <c r="F6" s="25"/>
      <c r="G6" s="25"/>
      <c r="H6" s="25"/>
    </row>
    <row r="7" spans="1:8" ht="15" customHeight="1" x14ac:dyDescent="0.2">
      <c r="A7" s="34" t="s">
        <v>77</v>
      </c>
      <c r="B7" s="31">
        <f>B5+B6</f>
        <v>1.5899999999999997E-2</v>
      </c>
      <c r="C7" s="25"/>
      <c r="D7" s="25"/>
      <c r="E7" s="25"/>
      <c r="F7" s="25"/>
      <c r="G7" s="25"/>
      <c r="H7" s="25"/>
    </row>
    <row r="8" spans="1:8" ht="15" customHeight="1" x14ac:dyDescent="0.2">
      <c r="A8" s="34" t="s">
        <v>80</v>
      </c>
      <c r="B8" s="31">
        <f>B7*Assumptions!$B$13</f>
        <v>1.5899999999999997E-2</v>
      </c>
    </row>
    <row r="10" spans="1:8" ht="15" customHeight="1" x14ac:dyDescent="0.2">
      <c r="A10" s="26" t="s">
        <v>81</v>
      </c>
      <c r="B10" s="26"/>
      <c r="C10" s="26"/>
      <c r="D10" s="26"/>
      <c r="E10" s="26"/>
    </row>
    <row r="11" spans="1:8" ht="15" customHeight="1" x14ac:dyDescent="0.2">
      <c r="A11" s="27" t="s">
        <v>82</v>
      </c>
      <c r="B11" s="27" t="s">
        <v>83</v>
      </c>
      <c r="C11" s="27" t="s">
        <v>84</v>
      </c>
      <c r="D11" s="27" t="s">
        <v>85</v>
      </c>
      <c r="E11" s="27" t="s">
        <v>86</v>
      </c>
    </row>
    <row r="12" spans="1:8" ht="15" customHeight="1" x14ac:dyDescent="0.2">
      <c r="A12" s="33" t="s">
        <v>87</v>
      </c>
      <c r="B12" s="32">
        <f>Assumptions!$B$17</f>
        <v>10</v>
      </c>
      <c r="C12" s="29">
        <f>Assumptions!$B$19</f>
        <v>20</v>
      </c>
      <c r="D12" s="29">
        <f>B12*C12</f>
        <v>200</v>
      </c>
      <c r="E12" s="30">
        <f>D12*$B$8</f>
        <v>3.1799999999999997</v>
      </c>
    </row>
    <row r="13" spans="1:8" ht="15" customHeight="1" x14ac:dyDescent="0.2">
      <c r="A13" s="33" t="s">
        <v>88</v>
      </c>
      <c r="B13" s="32">
        <f>(Assumptions!$B$17+Assumptions!$B$18)/2</f>
        <v>15</v>
      </c>
      <c r="C13" s="29">
        <f>Assumptions!$B$19</f>
        <v>20</v>
      </c>
      <c r="D13" s="29">
        <f>B13*C13</f>
        <v>300</v>
      </c>
      <c r="E13" s="30">
        <f>D13*$B$8</f>
        <v>4.7699999999999996</v>
      </c>
    </row>
    <row r="14" spans="1:8" ht="15" customHeight="1" x14ac:dyDescent="0.2">
      <c r="A14" s="33" t="s">
        <v>89</v>
      </c>
      <c r="B14" s="32">
        <f>Assumptions!$B$18</f>
        <v>20</v>
      </c>
      <c r="C14" s="29">
        <f>Assumptions!$B$19</f>
        <v>20</v>
      </c>
      <c r="D14" s="29">
        <f>B14*C14</f>
        <v>400</v>
      </c>
      <c r="E14" s="30">
        <f>D14*$B$8</f>
        <v>6.3599999999999994</v>
      </c>
    </row>
    <row r="16" spans="1:8" ht="15" customHeight="1" x14ac:dyDescent="0.2">
      <c r="A16" s="1" t="s">
        <v>90</v>
      </c>
      <c r="B16" s="1"/>
      <c r="C16" s="1"/>
      <c r="D16" s="1"/>
      <c r="E16" s="1"/>
    </row>
  </sheetData>
  <mergeCells count="3">
    <mergeCell ref="A16:E16"/>
    <mergeCell ref="A4:B4"/>
    <mergeCell ref="A10:E1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showGridLines="0" topLeftCell="A8" zoomScaleNormal="100" workbookViewId="0">
      <selection activeCell="B33" sqref="B33"/>
    </sheetView>
  </sheetViews>
  <sheetFormatPr baseColWidth="10" defaultColWidth="8.6640625" defaultRowHeight="15" x14ac:dyDescent="0.2"/>
  <cols>
    <col min="1" max="1" width="42" customWidth="1"/>
    <col min="2" max="2" width="82" customWidth="1"/>
    <col min="3" max="3" width="81.6640625" customWidth="1"/>
  </cols>
  <sheetData>
    <row r="1" spans="1:6" ht="18" customHeight="1" x14ac:dyDescent="0.2">
      <c r="A1" s="21" t="s">
        <v>141</v>
      </c>
      <c r="B1" s="21"/>
      <c r="C1" s="21"/>
      <c r="D1" s="21"/>
      <c r="E1" s="21"/>
      <c r="F1" s="21"/>
    </row>
    <row r="2" spans="1:6" ht="15" customHeight="1" x14ac:dyDescent="0.35">
      <c r="A2" s="1" t="s">
        <v>142</v>
      </c>
      <c r="B2" s="3"/>
      <c r="C2" s="1"/>
      <c r="D2" s="1"/>
      <c r="E2" s="1"/>
      <c r="F2" s="1"/>
    </row>
    <row r="3" spans="1:6" ht="20" customHeight="1" x14ac:dyDescent="0.25">
      <c r="B3" s="4"/>
    </row>
    <row r="4" spans="1:6" ht="15" customHeight="1" x14ac:dyDescent="0.25">
      <c r="A4" s="10" t="s">
        <v>91</v>
      </c>
      <c r="B4" s="35"/>
      <c r="C4" s="11"/>
    </row>
    <row r="5" spans="1:6" ht="15" customHeight="1" x14ac:dyDescent="0.2">
      <c r="A5" s="8" t="s">
        <v>21</v>
      </c>
      <c r="B5" s="9" t="s">
        <v>10</v>
      </c>
      <c r="C5" s="6" t="s">
        <v>92</v>
      </c>
    </row>
    <row r="6" spans="1:6" ht="15" customHeight="1" x14ac:dyDescent="0.2">
      <c r="A6" s="33" t="s">
        <v>93</v>
      </c>
      <c r="B6" s="13">
        <v>3</v>
      </c>
      <c r="C6" s="53" t="s">
        <v>94</v>
      </c>
    </row>
    <row r="7" spans="1:6" ht="15" customHeight="1" x14ac:dyDescent="0.2">
      <c r="A7" s="33" t="s">
        <v>95</v>
      </c>
      <c r="B7" s="13">
        <v>15</v>
      </c>
      <c r="C7" s="53" t="s">
        <v>94</v>
      </c>
    </row>
    <row r="9" spans="1:6" ht="15" customHeight="1" x14ac:dyDescent="0.2">
      <c r="A9" s="10" t="s">
        <v>164</v>
      </c>
    </row>
    <row r="10" spans="1:6" ht="15" customHeight="1" x14ac:dyDescent="0.2">
      <c r="A10" s="6" t="s">
        <v>21</v>
      </c>
      <c r="B10" s="6" t="s">
        <v>10</v>
      </c>
      <c r="C10" s="6" t="s">
        <v>92</v>
      </c>
    </row>
    <row r="11" spans="1:6" ht="15" customHeight="1" x14ac:dyDescent="0.2">
      <c r="A11" s="33" t="s">
        <v>96</v>
      </c>
      <c r="B11" s="14">
        <v>2200</v>
      </c>
      <c r="C11" s="53" t="s">
        <v>139</v>
      </c>
    </row>
    <row r="12" spans="1:6" ht="15" customHeight="1" x14ac:dyDescent="0.2">
      <c r="A12" s="33" t="s">
        <v>97</v>
      </c>
      <c r="B12" s="14">
        <v>620</v>
      </c>
      <c r="C12" s="53" t="s">
        <v>139</v>
      </c>
    </row>
    <row r="13" spans="1:6" ht="15" customHeight="1" x14ac:dyDescent="0.2">
      <c r="A13" s="33" t="s">
        <v>98</v>
      </c>
      <c r="B13" s="14">
        <v>1</v>
      </c>
      <c r="C13" s="53" t="s">
        <v>139</v>
      </c>
    </row>
    <row r="14" spans="1:6" ht="16" customHeight="1" x14ac:dyDescent="0.2"/>
    <row r="15" spans="1:6" ht="16" customHeight="1" x14ac:dyDescent="0.2">
      <c r="A15" s="10" t="s">
        <v>99</v>
      </c>
    </row>
    <row r="16" spans="1:6" ht="15" customHeight="1" x14ac:dyDescent="0.2">
      <c r="A16" s="6" t="s">
        <v>21</v>
      </c>
      <c r="B16" s="6" t="s">
        <v>10</v>
      </c>
      <c r="C16" s="7" t="s">
        <v>92</v>
      </c>
    </row>
    <row r="17" spans="1:3" ht="15" customHeight="1" x14ac:dyDescent="0.2">
      <c r="A17" s="36" t="s">
        <v>100</v>
      </c>
      <c r="B17" s="14">
        <v>10</v>
      </c>
      <c r="C17" s="53" t="s">
        <v>101</v>
      </c>
    </row>
    <row r="18" spans="1:3" ht="15" customHeight="1" x14ac:dyDescent="0.2">
      <c r="A18" s="36" t="s">
        <v>102</v>
      </c>
      <c r="B18" s="14">
        <v>20</v>
      </c>
      <c r="C18" s="53" t="s">
        <v>103</v>
      </c>
    </row>
    <row r="19" spans="1:3" ht="15" customHeight="1" x14ac:dyDescent="0.2">
      <c r="A19" s="37" t="s">
        <v>104</v>
      </c>
      <c r="B19" s="14">
        <v>20</v>
      </c>
      <c r="C19" s="53" t="s">
        <v>105</v>
      </c>
    </row>
    <row r="21" spans="1:3" ht="15" customHeight="1" x14ac:dyDescent="0.2">
      <c r="A21" s="10" t="s">
        <v>106</v>
      </c>
    </row>
    <row r="22" spans="1:3" ht="15" customHeight="1" x14ac:dyDescent="0.2">
      <c r="A22" s="6" t="s">
        <v>21</v>
      </c>
      <c r="B22" s="6" t="s">
        <v>107</v>
      </c>
      <c r="C22" s="6" t="s">
        <v>92</v>
      </c>
    </row>
    <row r="23" spans="1:3" ht="15" customHeight="1" x14ac:dyDescent="0.2">
      <c r="A23" s="33" t="s">
        <v>136</v>
      </c>
      <c r="B23" s="15">
        <v>20</v>
      </c>
      <c r="C23" s="53"/>
    </row>
    <row r="24" spans="1:3" ht="15" customHeight="1" x14ac:dyDescent="0.2">
      <c r="A24" s="38" t="s">
        <v>137</v>
      </c>
      <c r="B24" s="16">
        <v>8</v>
      </c>
      <c r="C24" s="68"/>
    </row>
    <row r="25" spans="1:3" ht="15" customHeight="1" x14ac:dyDescent="0.2">
      <c r="A25" s="33" t="s">
        <v>108</v>
      </c>
      <c r="B25" s="16">
        <v>20</v>
      </c>
      <c r="C25" s="53" t="s">
        <v>109</v>
      </c>
    </row>
    <row r="26" spans="1:3" ht="15" customHeight="1" x14ac:dyDescent="0.2">
      <c r="A26" s="39" t="s">
        <v>110</v>
      </c>
      <c r="B26" s="17">
        <v>20</v>
      </c>
      <c r="C26" s="69" t="s">
        <v>111</v>
      </c>
    </row>
    <row r="27" spans="1:3" ht="15" customHeight="1" x14ac:dyDescent="0.2">
      <c r="A27" s="39" t="s">
        <v>112</v>
      </c>
      <c r="B27" s="18">
        <v>25</v>
      </c>
      <c r="C27" s="69" t="s">
        <v>113</v>
      </c>
    </row>
    <row r="29" spans="1:3" ht="15" customHeight="1" x14ac:dyDescent="0.2">
      <c r="A29" s="10" t="s">
        <v>114</v>
      </c>
    </row>
    <row r="30" spans="1:3" ht="15" customHeight="1" x14ac:dyDescent="0.2">
      <c r="A30" s="6" t="s">
        <v>21</v>
      </c>
      <c r="B30" s="6" t="s">
        <v>10</v>
      </c>
      <c r="C30" s="6" t="s">
        <v>92</v>
      </c>
    </row>
    <row r="31" spans="1:3" ht="15" customHeight="1" x14ac:dyDescent="0.2">
      <c r="A31" s="40" t="s">
        <v>138</v>
      </c>
      <c r="B31" s="19">
        <v>30</v>
      </c>
      <c r="C31" s="53" t="s">
        <v>103</v>
      </c>
    </row>
    <row r="32" spans="1:3" ht="15" customHeight="1" x14ac:dyDescent="0.2">
      <c r="A32" s="36" t="s">
        <v>140</v>
      </c>
      <c r="B32" s="12">
        <v>4</v>
      </c>
      <c r="C32" s="67"/>
    </row>
    <row r="33" spans="1:3" ht="15" customHeight="1" x14ac:dyDescent="0.2">
      <c r="A33" s="41" t="s">
        <v>115</v>
      </c>
      <c r="B33" s="20">
        <v>0.15</v>
      </c>
      <c r="C33" s="67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30AD-9DBE-B64C-9FCF-CBA689CC7BCE}">
  <dimension ref="A1:F14"/>
  <sheetViews>
    <sheetView showGridLines="0" zoomScaleNormal="100" workbookViewId="0">
      <selection activeCell="B14" sqref="B14"/>
    </sheetView>
  </sheetViews>
  <sheetFormatPr baseColWidth="10" defaultColWidth="8.6640625" defaultRowHeight="15" x14ac:dyDescent="0.2"/>
  <cols>
    <col min="1" max="1" width="78" customWidth="1"/>
    <col min="2" max="2" width="71.6640625" customWidth="1"/>
    <col min="3" max="3" width="58.5" customWidth="1"/>
  </cols>
  <sheetData>
    <row r="1" spans="1:6" ht="18" customHeight="1" x14ac:dyDescent="0.2">
      <c r="A1" s="2" t="s">
        <v>156</v>
      </c>
      <c r="B1" s="2"/>
      <c r="C1" s="2"/>
      <c r="D1" s="2"/>
      <c r="E1" s="2"/>
      <c r="F1" s="2"/>
    </row>
    <row r="2" spans="1:6" ht="15" customHeight="1" x14ac:dyDescent="0.2">
      <c r="A2" s="5" t="s">
        <v>116</v>
      </c>
      <c r="B2" s="5"/>
      <c r="C2" s="5"/>
      <c r="D2" s="5"/>
      <c r="E2" s="5"/>
      <c r="F2" s="5"/>
    </row>
    <row r="4" spans="1:6" ht="16" x14ac:dyDescent="0.2">
      <c r="A4" s="6" t="s">
        <v>117</v>
      </c>
      <c r="B4" s="6" t="s">
        <v>118</v>
      </c>
      <c r="C4" s="6" t="s">
        <v>119</v>
      </c>
    </row>
    <row r="5" spans="1:6" x14ac:dyDescent="0.2">
      <c r="A5" s="49" t="s">
        <v>165</v>
      </c>
      <c r="B5" s="49" t="s">
        <v>150</v>
      </c>
      <c r="C5" s="50"/>
    </row>
    <row r="6" spans="1:6" x14ac:dyDescent="0.2">
      <c r="A6" s="52" t="s">
        <v>167</v>
      </c>
      <c r="B6" s="49" t="s">
        <v>150</v>
      </c>
      <c r="C6" s="53"/>
    </row>
    <row r="7" spans="1:6" x14ac:dyDescent="0.2">
      <c r="A7" s="49" t="s">
        <v>166</v>
      </c>
      <c r="B7" s="49" t="s">
        <v>150</v>
      </c>
      <c r="C7" s="50"/>
    </row>
    <row r="8" spans="1:6" x14ac:dyDescent="0.2">
      <c r="A8" s="96" t="s">
        <v>168</v>
      </c>
      <c r="B8" s="52" t="s">
        <v>120</v>
      </c>
      <c r="C8" s="53"/>
    </row>
    <row r="9" spans="1:6" x14ac:dyDescent="0.2">
      <c r="A9" s="49" t="s">
        <v>121</v>
      </c>
      <c r="B9" s="52" t="s">
        <v>151</v>
      </c>
      <c r="C9" s="50" t="s">
        <v>122</v>
      </c>
    </row>
    <row r="10" spans="1:6" x14ac:dyDescent="0.2">
      <c r="A10" s="52" t="s">
        <v>123</v>
      </c>
      <c r="B10" s="52" t="s">
        <v>124</v>
      </c>
      <c r="C10" s="53"/>
    </row>
    <row r="11" spans="1:6" x14ac:dyDescent="0.2">
      <c r="A11" s="49" t="s">
        <v>125</v>
      </c>
      <c r="B11" s="54" t="s">
        <v>152</v>
      </c>
      <c r="C11" s="50" t="s">
        <v>126</v>
      </c>
    </row>
    <row r="12" spans="1:6" x14ac:dyDescent="0.2">
      <c r="A12" s="52" t="s">
        <v>127</v>
      </c>
      <c r="B12" s="52" t="s">
        <v>128</v>
      </c>
      <c r="C12" s="53" t="s">
        <v>129</v>
      </c>
    </row>
    <row r="13" spans="1:6" x14ac:dyDescent="0.2">
      <c r="A13" s="49" t="s">
        <v>130</v>
      </c>
      <c r="B13" s="49" t="s">
        <v>131</v>
      </c>
      <c r="C13" s="50"/>
    </row>
    <row r="14" spans="1:6" x14ac:dyDescent="0.2">
      <c r="A14" s="52" t="s">
        <v>132</v>
      </c>
      <c r="B14" s="52" t="s">
        <v>153</v>
      </c>
      <c r="C14" s="53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Funding Ask Summary</vt:lpstr>
      <vt:lpstr>Actual Spend to Date</vt:lpstr>
      <vt:lpstr>Beta Cost Projection</vt:lpstr>
      <vt:lpstr>Assumptions</vt:lpstr>
      <vt:lpstr>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Emma Chaffee</cp:lastModifiedBy>
  <cp:revision>3</cp:revision>
  <dcterms:created xsi:type="dcterms:W3CDTF">2026-08-08T17:18:09Z</dcterms:created>
  <dcterms:modified xsi:type="dcterms:W3CDTF">2026-08-08T20:50:53Z</dcterms:modified>
  <dc:language>en-US</dc:language>
</cp:coreProperties>
</file>